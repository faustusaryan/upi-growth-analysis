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ryan\Desktop\"/>
    </mc:Choice>
  </mc:AlternateContent>
  <xr:revisionPtr revIDLastSave="0" documentId="13_ncr:1_{642B1F7D-6DFC-4486-8567-70DE84CCC1FE}" xr6:coauthVersionLast="47" xr6:coauthVersionMax="47" xr10:uidLastSave="{00000000-0000-0000-0000-000000000000}"/>
  <bookViews>
    <workbookView xWindow="-108" yWindow="-108" windowWidth="23256" windowHeight="12456" firstSheet="3" activeTab="8" xr2:uid="{0BAE3B6A-4BA8-4E69-863C-BC3ABAE84CFB}"/>
  </bookViews>
  <sheets>
    <sheet name="data_monthly" sheetId="2" r:id="rId1"/>
    <sheet name="data_fy" sheetId="3" r:id="rId2"/>
    <sheet name="data_apps" sheetId="4" r:id="rId3"/>
    <sheet name="data_conc" sheetId="5" r:id="rId4"/>
    <sheet name="data_mix" sheetId="6" r:id="rId5"/>
    <sheet name="data_season" sheetId="7" r:id="rId6"/>
    <sheet name="Calc" sheetId="1" r:id="rId7"/>
    <sheet name="Pivots" sheetId="8" r:id="rId8"/>
    <sheet name="Dashboard" sheetId="9" r:id="rId9"/>
  </sheets>
  <definedNames>
    <definedName name="ExternalData_1" localSheetId="2" hidden="1">data_apps!$A$1:$I$2053</definedName>
    <definedName name="ExternalData_1" localSheetId="3" hidden="1">data_conc!$A$1:$D$25</definedName>
    <definedName name="ExternalData_1" localSheetId="1" hidden="1">data_fy!$A$1:$F$12</definedName>
    <definedName name="ExternalData_1" localSheetId="4" hidden="1">data_mix!$A$1:$G$49</definedName>
    <definedName name="ExternalData_1" localSheetId="0" hidden="1">data_monthly!$A$1:$J$123</definedName>
    <definedName name="ExternalData_1" localSheetId="5" hidden="1">data_season!$A$1:$D$13</definedName>
    <definedName name="NativeTimeline_month_date">#N/A</definedName>
    <definedName name="_xlnm.Print_Area" localSheetId="8">Dashboard!$A$1:$BZ$120</definedName>
    <definedName name="Slicer_app_name">#N/A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9" l="1"/>
  <c r="B10" i="1" a="1"/>
  <c r="G7" i="1" s="1"/>
  <c r="B6" i="1"/>
  <c r="D1" i="1" a="1"/>
  <c r="B1" i="1"/>
  <c r="G2" i="1" l="1"/>
  <c r="G1" i="1"/>
  <c r="B8" i="1"/>
  <c r="G5" i="1" s="1"/>
  <c r="B7" i="1"/>
  <c r="B9" i="1"/>
  <c r="G6" i="1" s="1"/>
  <c r="B5" i="1"/>
  <c r="G4" i="1" s="1"/>
  <c r="B2" i="1"/>
  <c r="B4" i="1"/>
  <c r="G3" i="1" s="1"/>
  <c r="B3" i="1"/>
  <c r="B6" i="9"/>
  <c r="B7" i="9"/>
  <c r="M6" i="9"/>
  <c r="M7" i="9"/>
  <c r="X6" i="9"/>
  <c r="X7" i="9"/>
  <c r="AI6" i="9"/>
  <c r="AI7" i="9"/>
  <c r="AT6" i="9"/>
  <c r="AT7" i="9"/>
  <c r="BE6" i="9"/>
  <c r="BE7" i="9"/>
  <c r="BP6" i="9"/>
  <c r="BP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C6FCB7-0280-4850-ABCC-85A6C33A3894}" keepAlive="1" name="Query - tbl_apps" description="Connection to the 'tbl_apps' query in the workbook." type="5" refreshedVersion="8" background="1" saveData="1">
    <dbPr connection="Provider=Microsoft.Mashup.OleDb.1;Data Source=$Workbook$;Location=tbl_apps;Extended Properties=&quot;&quot;" command="SELECT * FROM [tbl_apps]"/>
  </connection>
  <connection id="2" xr16:uid="{D1FCF263-8DD7-4AB1-BD51-FFE702A12BFF}" keepAlive="1" name="Query - tbl_conc" description="Connection to the 'tbl_conc' query in the workbook." type="5" refreshedVersion="8" background="1" saveData="1">
    <dbPr connection="Provider=Microsoft.Mashup.OleDb.1;Data Source=$Workbook$;Location=tbl_conc;Extended Properties=&quot;&quot;" command="SELECT * FROM [tbl_conc]"/>
  </connection>
  <connection id="3" xr16:uid="{B326C56B-DE8D-4FDB-B68B-D640A10DC237}" keepAlive="1" name="Query - tbl_fy" description="Connection to the 'tbl_fy' query in the workbook." type="5" refreshedVersion="8" background="1" saveData="1">
    <dbPr connection="Provider=Microsoft.Mashup.OleDb.1;Data Source=$Workbook$;Location=tbl_fy;Extended Properties=&quot;&quot;" command="SELECT * FROM [tbl_fy]"/>
  </connection>
  <connection id="4" xr16:uid="{B904A04C-A646-4725-929B-C8FC37B1A040}" keepAlive="1" name="Query - tbl_mix" description="Connection to the 'tbl_mix' query in the workbook." type="5" refreshedVersion="8" background="1" saveData="1">
    <dbPr connection="Provider=Microsoft.Mashup.OleDb.1;Data Source=$Workbook$;Location=tbl_mix;Extended Properties=&quot;&quot;" command="SELECT * FROM [tbl_mix]"/>
  </connection>
  <connection id="5" xr16:uid="{AEEE4CAA-AAF0-4AC2-9493-16ACA9941429}" keepAlive="1" name="Query - tbl_monthly" description="Connection to the 'tbl_monthly' query in the workbook." type="5" refreshedVersion="8" background="1" saveData="1">
    <dbPr connection="Provider=Microsoft.Mashup.OleDb.1;Data Source=$Workbook$;Location=tbl_monthly;Extended Properties=&quot;&quot;" command="SELECT * FROM [tbl_monthly]"/>
  </connection>
  <connection id="6" xr16:uid="{2D83012B-C0D7-4D8C-B713-26DCBFF6B422}" keepAlive="1" name="Query - tbl_season" description="Connection to the 'tbl_season' query in the workbook." type="5" refreshedVersion="8" background="1" saveData="1">
    <dbPr connection="Provider=Microsoft.Mashup.OleDb.1;Data Source=$Workbook$;Location=tbl_season;Extended Properties=&quot;&quot;" command="SELECT * FROM [tbl_seas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<sst xmlns="http://schemas.openxmlformats.org/spreadsheetml/2006/main" count="4410" uniqueCount="192">
  <si>
    <t>month_date</t>
  </si>
  <si>
    <t>fiscal_year</t>
  </si>
  <si>
    <t>banks_live</t>
  </si>
  <si>
    <t>volume_bn</t>
  </si>
  <si>
    <t>value_lakh_cr</t>
  </si>
  <si>
    <t>avg_ticket_rs</t>
  </si>
  <si>
    <t>volume_per_day_mn</t>
  </si>
  <si>
    <t>mom_pct</t>
  </si>
  <si>
    <t>yoy_volume_pct</t>
  </si>
  <si>
    <t>yoy_value_pct</t>
  </si>
  <si>
    <t>FY17</t>
  </si>
  <si>
    <t>FY18</t>
  </si>
  <si>
    <t>FY19</t>
  </si>
  <si>
    <t>FY20</t>
  </si>
  <si>
    <t>FY21</t>
  </si>
  <si>
    <t>FY22</t>
  </si>
  <si>
    <t>FY23</t>
  </si>
  <si>
    <t>FY24</t>
  </si>
  <si>
    <t>FY25</t>
  </si>
  <si>
    <t>FY26</t>
  </si>
  <si>
    <t>FY27</t>
  </si>
  <si>
    <t>months</t>
  </si>
  <si>
    <t>fy_status</t>
  </si>
  <si>
    <t>Partial</t>
  </si>
  <si>
    <t>Complete</t>
  </si>
  <si>
    <t>app_name</t>
  </si>
  <si>
    <t>app_group</t>
  </si>
  <si>
    <t>volume_mn</t>
  </si>
  <si>
    <t>value_cr</t>
  </si>
  <si>
    <t>vol_share_pct</t>
  </si>
  <si>
    <t>val_share_pct</t>
  </si>
  <si>
    <t>vol_rank</t>
  </si>
  <si>
    <t>PhonePe</t>
  </si>
  <si>
    <t>Google Pay</t>
  </si>
  <si>
    <t>Paytm</t>
  </si>
  <si>
    <t>CRED</t>
  </si>
  <si>
    <t>Challengers</t>
  </si>
  <si>
    <t>Navi</t>
  </si>
  <si>
    <t>Axis Bank Apps</t>
  </si>
  <si>
    <t>Amazon Pay</t>
  </si>
  <si>
    <t>FamApp by Trio</t>
  </si>
  <si>
    <t>ICICI Bank Apps</t>
  </si>
  <si>
    <t>WhatsApp</t>
  </si>
  <si>
    <t>Kotak Mahindra Bank Apps</t>
  </si>
  <si>
    <t>HDFC Bank Apps</t>
  </si>
  <si>
    <t>Yes Bank Apps</t>
  </si>
  <si>
    <t>BHIM</t>
  </si>
  <si>
    <t>super.money</t>
  </si>
  <si>
    <t>Airtel Payments Bank Apps</t>
  </si>
  <si>
    <t>Mobikwik</t>
  </si>
  <si>
    <t>Groww</t>
  </si>
  <si>
    <t>Flipkart UPI</t>
  </si>
  <si>
    <t>Bajaj Finserv</t>
  </si>
  <si>
    <t>Slice Small Finance Bank Apps</t>
  </si>
  <si>
    <t>State Bank of India Apps</t>
  </si>
  <si>
    <t>IDFC Bank Apps</t>
  </si>
  <si>
    <t>Samsung Pay</t>
  </si>
  <si>
    <t>India Post Payments Bank Apps</t>
  </si>
  <si>
    <t>Federal Bank Apps</t>
  </si>
  <si>
    <t>Jupiter Money</t>
  </si>
  <si>
    <t>Deutsche Bank Apps</t>
  </si>
  <si>
    <t>Canara Bank Apps</t>
  </si>
  <si>
    <t>Jio Payments Bank Apps</t>
  </si>
  <si>
    <t>Punjab National Bank Apps</t>
  </si>
  <si>
    <t>Indian Bank Apps</t>
  </si>
  <si>
    <t>POP UPI</t>
  </si>
  <si>
    <t>Timepay</t>
  </si>
  <si>
    <t>RBL Bank Apps</t>
  </si>
  <si>
    <t>Omni Card</t>
  </si>
  <si>
    <t>Bank of Baroda Apps</t>
  </si>
  <si>
    <t>Central Bank of India Apps</t>
  </si>
  <si>
    <t>Jammu and Kashmir Bank Apps</t>
  </si>
  <si>
    <t>Aditya Birla Capital Digital</t>
  </si>
  <si>
    <t>Union Bank Apps</t>
  </si>
  <si>
    <t>South Indian Bank Apps</t>
  </si>
  <si>
    <t>DBS Digibank Apps</t>
  </si>
  <si>
    <t>HSBC Bank Apps</t>
  </si>
  <si>
    <t>Fino Payments Bank Apps</t>
  </si>
  <si>
    <t>AU Small Finance Bank Apps</t>
  </si>
  <si>
    <t>Digikhata</t>
  </si>
  <si>
    <t>IndusInd Bank Apps</t>
  </si>
  <si>
    <t>Shri Ram One</t>
  </si>
  <si>
    <t>Kiwi</t>
  </si>
  <si>
    <t>Suryoday Bank Apps</t>
  </si>
  <si>
    <t>UCO Bank Apps</t>
  </si>
  <si>
    <t>Tata Pay</t>
  </si>
  <si>
    <t>Indian Overseas Bank Apps</t>
  </si>
  <si>
    <t>Standard Chartered Bank Apps</t>
  </si>
  <si>
    <t>Karnataka Bank Apps</t>
  </si>
  <si>
    <t>Bank of India Apps</t>
  </si>
  <si>
    <t>Dhani</t>
  </si>
  <si>
    <t>Ultracash</t>
  </si>
  <si>
    <t>Niyo Global</t>
  </si>
  <si>
    <t>IDBI Bank Apps</t>
  </si>
  <si>
    <t>NSDL Payments Bank Apps</t>
  </si>
  <si>
    <t>City Union Bank Apps</t>
  </si>
  <si>
    <t>Tamilnad Mercantile Bank Apps</t>
  </si>
  <si>
    <t>Rapipay</t>
  </si>
  <si>
    <t>Bharat Pe</t>
  </si>
  <si>
    <t>True Balance</t>
  </si>
  <si>
    <t>One Card</t>
  </si>
  <si>
    <t>Karur Vysya Bank Apps</t>
  </si>
  <si>
    <t>Salary Se</t>
  </si>
  <si>
    <t>Freo</t>
  </si>
  <si>
    <t>Punjab Sind Bank Apps</t>
  </si>
  <si>
    <t>Equitas Small Finance Bank Apps</t>
  </si>
  <si>
    <t>Citi Bank Apps</t>
  </si>
  <si>
    <t>Allahabad Bank Apps</t>
  </si>
  <si>
    <t>Fi Money</t>
  </si>
  <si>
    <t>ESAF Small Finance Bank Apps</t>
  </si>
  <si>
    <t>Cheq</t>
  </si>
  <si>
    <t>Genwise</t>
  </si>
  <si>
    <t>Money View</t>
  </si>
  <si>
    <t>Spice Money</t>
  </si>
  <si>
    <t>Kredit Pe</t>
  </si>
  <si>
    <t>Ind Money</t>
  </si>
  <si>
    <t>Bank of Maharashtra Apps</t>
  </si>
  <si>
    <t>Obopay</t>
  </si>
  <si>
    <t>Unity Small Finance Bank Apps</t>
  </si>
  <si>
    <t>Payworld</t>
  </si>
  <si>
    <t>Utkarsh Small Finance Bank Apps</t>
  </si>
  <si>
    <t>Jar</t>
  </si>
  <si>
    <t>KreditBee</t>
  </si>
  <si>
    <t>TwidPay</t>
  </si>
  <si>
    <t>Oxymoney</t>
  </si>
  <si>
    <t>Curie Money</t>
  </si>
  <si>
    <t>LXME</t>
  </si>
  <si>
    <t>Saathi by PayNearBy</t>
  </si>
  <si>
    <t>Fave</t>
  </si>
  <si>
    <t>ZET</t>
  </si>
  <si>
    <t>Scapia</t>
  </si>
  <si>
    <t>Rediff</t>
  </si>
  <si>
    <t>Jummp</t>
  </si>
  <si>
    <t>SnapMint</t>
  </si>
  <si>
    <t>Rio Money</t>
  </si>
  <si>
    <t>Stashfin</t>
  </si>
  <si>
    <t>Novio</t>
  </si>
  <si>
    <t>Unimoni</t>
  </si>
  <si>
    <t>LivQuik</t>
  </si>
  <si>
    <t>Hero Fincorp</t>
  </si>
  <si>
    <t>top2_share_pct</t>
  </si>
  <si>
    <t>top5_share_pct</t>
  </si>
  <si>
    <t>hhi</t>
  </si>
  <si>
    <t>txn_type</t>
  </si>
  <si>
    <t>volume_share_pct</t>
  </si>
  <si>
    <t>value_share_pct</t>
  </si>
  <si>
    <t>ticket_rs</t>
  </si>
  <si>
    <t>P2P</t>
  </si>
  <si>
    <t>P2M</t>
  </si>
  <si>
    <t>month_no</t>
  </si>
  <si>
    <t>month_name</t>
  </si>
  <si>
    <t>avg_mom_per_day_pct</t>
  </si>
  <si>
    <t>years_used</t>
  </si>
  <si>
    <t>Jan</t>
  </si>
  <si>
    <t>Feb</t>
  </si>
  <si>
    <t>Mar</t>
  </si>
  <si>
    <t>Apr</t>
  </si>
  <si>
    <t>May</t>
  </si>
  <si>
    <t>Jun</t>
  </si>
  <si>
    <t>Jul</t>
  </si>
  <si>
    <t>Aug</t>
  </si>
  <si>
    <t>Sep</t>
  </si>
  <si>
    <t>Oct</t>
  </si>
  <si>
    <t>Nov</t>
  </si>
  <si>
    <t>Dec</t>
  </si>
  <si>
    <t>Latest month</t>
  </si>
  <si>
    <t>Volume (bn)</t>
  </si>
  <si>
    <t>Value (₹ lakh cr)</t>
  </si>
  <si>
    <t>YoY volume %</t>
  </si>
  <si>
    <t>Avg ticket (₹)</t>
  </si>
  <si>
    <t>Latest app month</t>
  </si>
  <si>
    <t>PhonePe share %</t>
  </si>
  <si>
    <t>Top-2 share %</t>
  </si>
  <si>
    <t>HHI</t>
  </si>
  <si>
    <t>Volume CAGR (complete FYs)</t>
  </si>
  <si>
    <t>Row Labels</t>
  </si>
  <si>
    <t>Grand Total</t>
  </si>
  <si>
    <t>Column Labels</t>
  </si>
  <si>
    <t>Sum of vol_share_pct</t>
  </si>
  <si>
    <t>Sum of volume_share_pct</t>
  </si>
  <si>
    <t>Sum of value_share_pct</t>
  </si>
  <si>
    <t>KEY TAKEAWAYS</t>
  </si>
  <si>
    <t>•  UPI grew 264x in 8 years and now adds ~55 bn transactions a year.</t>
  </si>
  <si>
    <t>•  Top-2 share fell from 85.4% to 77.9% in 2 years; HHI of 3,215 is still highly concentrated.</t>
  </si>
  <si>
    <t>•  YoY growth has cooled to ~22%, expected at this scale.</t>
  </si>
  <si>
    <t>•  Navi is the top challenger (+1.88 pp share in a year).</t>
  </si>
  <si>
    <t>•  Average ticket fell from ₹1,838 (FY21) to ₹1,301 (FY26): more small everyday payments.</t>
  </si>
  <si>
    <t>•  P2M is ~63% of transactions but only ~30% of value.</t>
  </si>
  <si>
    <t>GROWTH</t>
  </si>
  <si>
    <t>MARKET CONCENTRATION</t>
  </si>
  <si>
    <t>PAYMENT MIX  |  P2M VS P2P</t>
  </si>
  <si>
    <t>Source: NPCI UPI Product &amp; Ecosystem Statistics. Data till Sep 2026 (app and P2P/P2M data till Aug 2026). CAGR uses complete FYs only (FY18–FY26). Refresh: Data → Refresh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</si>
</sst>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
    <numFmt numFmtId="165" formatCode="0.0%"/>
  </numFmts>
  <fonts count="9" x14ac:knownFonts="1">
    <font>
      <sz val="11"/>
      <color theme="1"/>
      <name val="Calibri"/>
      <family val="2"/>
      <scheme val="minor"/>
    </font>
    <font>
      <sz val="10"/>
      <color rgb="FF000000"/>
      <name val="Consolas"/>
      <family val="3"/>
    </font>
    <font>
      <sz val="11"/>
      <color theme="1"/>
      <name val="Segoe UI"/>
      <family val="2"/>
    </font>
    <font>
      <b/>
      <sz val="20"/>
      <color rgb="FFFFFFFF"/>
      <name val="Segoe UI"/>
      <family val="2"/>
    </font>
    <font>
      <b/>
      <sz val="9"/>
      <color rgb="FF5A6B8C"/>
      <name val="Segoe UI"/>
      <family val="2"/>
    </font>
    <font>
      <b/>
      <sz val="18"/>
      <color rgb="FF223962"/>
      <name val="Segoe UI"/>
      <family val="2"/>
    </font>
    <font>
      <b/>
      <sz val="11"/>
      <color rgb="FF223962"/>
      <name val="Segoe UI"/>
      <family val="2"/>
    </font>
    <font>
      <sz val="10"/>
      <color rgb="FF262626"/>
      <name val="Segoe UI"/>
      <family val="2"/>
    </font>
    <font>
      <sz val="9"/>
      <color rgb="FF7F7F7F"/>
      <name val="Segoe UI"/>
      <family val="2"/>
    </font>
  </fonts>
  <fills count="7">
    <fill>
      <patternFill patternType="none"/>
    </fill>
    <fill>
      <patternFill patternType="gray125"/>
    </fill>
    <fill>
      <patternFill patternType="solid">
        <fgColor rgb="FFF2F4F8"/>
        <bgColor indexed="64"/>
      </patternFill>
    </fill>
    <fill>
      <patternFill patternType="solid">
        <fgColor rgb="FF223962"/>
        <bgColor indexed="64"/>
      </patternFill>
    </fill>
    <fill>
      <patternFill patternType="solid">
        <fgColor rgb="FFFFFFFF"/>
        <bgColor indexed="64"/>
      </patternFill>
    </fill>
    <fill>
      <patternFill patternType="solid">
        <fgColor rgb="FF4472C4"/>
        <bgColor indexed="64"/>
      </patternFill>
    </fill>
    <fill>
      <patternFill patternType="solid">
        <fgColor rgb="FFED7D31"/>
        <bgColor indexed="64"/>
      </patternFill>
    </fill>
  </fills>
  <borders count="2">
    <border>
      <left/>
      <right/>
      <top/>
      <bottom/>
      <diagonal/>
    </border>
    <border>
      <left/>
      <right/>
      <top/>
      <bottom style="thin">
        <color rgb="FF223962"/>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xf numFmtId="164" fontId="1" fillId="0" borderId="0" xfId="0" applyNumberFormat="1" applyFont="1"/>
    <xf numFmtId="165"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17" fontId="0" fillId="0" borderId="0" xfId="0" applyNumberFormat="1" applyAlignment="1">
      <alignment horizontal="left"/>
    </xf>
    <xf numFmtId="0" fontId="0" fillId="0" borderId="0" xfId="0" applyAlignment="1">
      <alignment horizontal="left"/>
    </xf>
    <xf numFmtId="0" fontId="2" fillId="2" borderId="0" xfId="0" applyFont="1" applyFill="1"/>
    <xf numFmtId="0" fontId="3" fillId="3" borderId="0" xfId="0" applyFont="1" applyFill="1"/>
    <xf numFmtId="0" fontId="3" fillId="3" borderId="0" xfId="0" applyFont="1" applyFill="1" applyAlignment="1">
      <alignment vertical="center"/>
    </xf>
    <xf numFmtId="0" fontId="2" fillId="5" borderId="0" xfId="0" applyFont="1" applyFill="1"/>
    <xf numFmtId="0" fontId="2" fillId="6" borderId="0" xfId="0" applyFont="1" applyFill="1"/>
    <xf numFmtId="0" fontId="2" fillId="4" borderId="0" xfId="0" applyFont="1" applyFill="1"/>
    <xf numFmtId="0" fontId="6" fillId="2" borderId="1" xfId="0" applyFont="1" applyFill="1" applyBorder="1"/>
    <xf numFmtId="0" fontId="2" fillId="2" borderId="1" xfId="0" applyFont="1" applyFill="1" applyBorder="1"/>
    <xf numFmtId="0" fontId="8" fillId="2" borderId="0" xfId="0" applyFont="1" applyFill="1" applyAlignment="1">
      <alignment vertical="top" wrapText="1"/>
    </xf>
    <xf numFmtId="0" fontId="4" fillId="4" borderId="0" xfId="0" applyFont="1" applyFill="1" applyAlignment="1">
      <alignment horizontal="center" vertical="center"/>
    </xf>
    <xf numFmtId="0" fontId="5" fillId="4" borderId="0" xfId="0" applyFont="1" applyFill="1" applyAlignment="1">
      <alignment horizontal="center" vertical="center" shrinkToFit="1"/>
    </xf>
    <xf numFmtId="0" fontId="7" fillId="4" borderId="0" xfId="0" applyFont="1" applyFill="1" applyAlignment="1">
      <alignment vertical="center" wrapText="1"/>
    </xf>
  </cellXfs>
  <cellStyles count="1">
    <cellStyle name="Normal" xfId="0" builtinId="0"/>
  </cellStyles>
  <dxfs count="11">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[upi_analysis-final.xlsx]Pivots!PivotTable1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UPI now handles ~24 bn transactions a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Volume (bn)</c:v>
                </c:pt>
              </c:strCache>
            </c:strRef>
          </c:tx>
          <c:spPr>
            <a:solidFill>
              <a:schemeClr val="accent1"/>
            </a:solidFill>
            <a:ln>
              <a:noFill/>
            </a:ln>
            <a:effectLst/>
          </c:spPr>
          <c:invertIfNegative val="0"/>
          <c:cat>
            <c:strRef>
              <c:f>Pivots!$A$4:$A$126</c:f>
              <c:strCache>
                <c:ptCount val="122"/>
                <c:pt idx="0">
                  <c:v>Aug-16</c:v>
                </c:pt>
                <c:pt idx="1">
                  <c:v>Sep-16</c:v>
                </c:pt>
                <c:pt idx="2">
                  <c:v>Oct-16</c:v>
                </c:pt>
                <c:pt idx="3">
                  <c:v>Nov-16</c:v>
                </c:pt>
                <c:pt idx="4">
                  <c:v>Dec-16</c:v>
                </c:pt>
                <c:pt idx="5">
                  <c:v>Jan-17</c:v>
                </c:pt>
                <c:pt idx="6">
                  <c:v>Feb-17</c:v>
                </c:pt>
                <c:pt idx="7">
                  <c:v>Mar-17</c:v>
                </c:pt>
                <c:pt idx="8">
                  <c:v>Apr-17</c:v>
                </c:pt>
                <c:pt idx="9">
                  <c:v>May-17</c:v>
                </c:pt>
                <c:pt idx="10">
                  <c:v>Jun-17</c:v>
                </c:pt>
                <c:pt idx="11">
                  <c:v>Jul-17</c:v>
                </c:pt>
                <c:pt idx="12">
                  <c:v>Aug-17</c:v>
                </c:pt>
                <c:pt idx="13">
                  <c:v>Sep-17</c:v>
                </c:pt>
                <c:pt idx="14">
                  <c:v>Oct-17</c:v>
                </c:pt>
                <c:pt idx="15">
                  <c:v>Nov-17</c:v>
                </c:pt>
                <c:pt idx="16">
                  <c:v>Dec-17</c:v>
                </c:pt>
                <c:pt idx="17">
                  <c:v>Jan-18</c:v>
                </c:pt>
                <c:pt idx="18">
                  <c:v>Feb-18</c:v>
                </c:pt>
                <c:pt idx="19">
                  <c:v>Mar-18</c:v>
                </c:pt>
                <c:pt idx="20">
                  <c:v>Apr-18</c:v>
                </c:pt>
                <c:pt idx="21">
                  <c:v>May-18</c:v>
                </c:pt>
                <c:pt idx="22">
                  <c:v>Jun-18</c:v>
                </c:pt>
                <c:pt idx="23">
                  <c:v>Jul-18</c:v>
                </c:pt>
                <c:pt idx="24">
                  <c:v>Aug-18</c:v>
                </c:pt>
                <c:pt idx="25">
                  <c:v>Sep-18</c:v>
                </c:pt>
                <c:pt idx="26">
                  <c:v>Oct-18</c:v>
                </c:pt>
                <c:pt idx="27">
                  <c:v>Nov-18</c:v>
                </c:pt>
                <c:pt idx="28">
                  <c:v>Dec-18</c:v>
                </c:pt>
                <c:pt idx="29">
                  <c:v>Jan-19</c:v>
                </c:pt>
                <c:pt idx="30">
                  <c:v>Feb-19</c:v>
                </c:pt>
                <c:pt idx="31">
                  <c:v>Mar-19</c:v>
                </c:pt>
                <c:pt idx="32">
                  <c:v>Apr-19</c:v>
                </c:pt>
                <c:pt idx="33">
                  <c:v>May-19</c:v>
                </c:pt>
                <c:pt idx="34">
                  <c:v>Jun-19</c:v>
                </c:pt>
                <c:pt idx="35">
                  <c:v>Jul-19</c:v>
                </c:pt>
                <c:pt idx="36">
                  <c:v>Aug-19</c:v>
                </c:pt>
                <c:pt idx="37">
                  <c:v>Sep-19</c:v>
                </c:pt>
                <c:pt idx="38">
                  <c:v>Oct-19</c:v>
                </c:pt>
                <c:pt idx="39">
                  <c:v>Nov-19</c:v>
                </c:pt>
                <c:pt idx="40">
                  <c:v>Dec-19</c:v>
                </c:pt>
                <c:pt idx="41">
                  <c:v>Jan-20</c:v>
                </c:pt>
                <c:pt idx="42">
                  <c:v>Feb-20</c:v>
                </c:pt>
                <c:pt idx="43">
                  <c:v>Mar-20</c:v>
                </c:pt>
                <c:pt idx="44">
                  <c:v>Apr-20</c:v>
                </c:pt>
                <c:pt idx="45">
                  <c:v>May-20</c:v>
                </c:pt>
                <c:pt idx="46">
                  <c:v>Jun-20</c:v>
                </c:pt>
                <c:pt idx="47">
                  <c:v>Jul-20</c:v>
                </c:pt>
                <c:pt idx="48">
                  <c:v>Aug-20</c:v>
                </c:pt>
                <c:pt idx="49">
                  <c:v>Sep-20</c:v>
                </c:pt>
                <c:pt idx="50">
                  <c:v>Oct-20</c:v>
                </c:pt>
                <c:pt idx="51">
                  <c:v>Nov-20</c:v>
                </c:pt>
                <c:pt idx="52">
                  <c:v>Dec-20</c:v>
                </c:pt>
                <c:pt idx="53">
                  <c:v>Jan-21</c:v>
                </c:pt>
                <c:pt idx="54">
                  <c:v>Feb-21</c:v>
                </c:pt>
                <c:pt idx="55">
                  <c:v>Mar-21</c:v>
                </c:pt>
                <c:pt idx="56">
                  <c:v>Apr-21</c:v>
                </c:pt>
                <c:pt idx="57">
                  <c:v>May-21</c:v>
                </c:pt>
                <c:pt idx="58">
                  <c:v>Jun-21</c:v>
                </c:pt>
                <c:pt idx="59">
                  <c:v>Jul-21</c:v>
                </c:pt>
                <c:pt idx="60">
                  <c:v>Aug-21</c:v>
                </c:pt>
                <c:pt idx="61">
                  <c:v>Sep-21</c:v>
                </c:pt>
                <c:pt idx="62">
                  <c:v>Oct-21</c:v>
                </c:pt>
                <c:pt idx="63">
                  <c:v>Nov-21</c:v>
                </c:pt>
                <c:pt idx="64">
                  <c:v>Dec-21</c:v>
                </c:pt>
                <c:pt idx="65">
                  <c:v>Jan-22</c:v>
                </c:pt>
                <c:pt idx="66">
                  <c:v>Feb-22</c:v>
                </c:pt>
                <c:pt idx="67">
                  <c:v>Mar-22</c:v>
                </c:pt>
                <c:pt idx="68">
                  <c:v>Apr-22</c:v>
                </c:pt>
                <c:pt idx="69">
                  <c:v>May-22</c:v>
                </c:pt>
                <c:pt idx="70">
                  <c:v>Jun-22</c:v>
                </c:pt>
                <c:pt idx="71">
                  <c:v>Jul-22</c:v>
                </c:pt>
                <c:pt idx="72">
                  <c:v>Aug-22</c:v>
                </c:pt>
                <c:pt idx="73">
                  <c:v>Sep-22</c:v>
                </c:pt>
                <c:pt idx="74">
                  <c:v>Oct-22</c:v>
                </c:pt>
                <c:pt idx="75">
                  <c:v>Nov-22</c:v>
                </c:pt>
                <c:pt idx="76">
                  <c:v>Dec-22</c:v>
                </c:pt>
                <c:pt idx="77">
                  <c:v>Jan-23</c:v>
                </c:pt>
                <c:pt idx="78">
                  <c:v>Feb-23</c:v>
                </c:pt>
                <c:pt idx="79">
                  <c:v>Mar-23</c:v>
                </c:pt>
                <c:pt idx="80">
                  <c:v>Apr-23</c:v>
                </c:pt>
                <c:pt idx="81">
                  <c:v>May-23</c:v>
                </c:pt>
                <c:pt idx="82">
                  <c:v>Jun-23</c:v>
                </c:pt>
                <c:pt idx="83">
                  <c:v>Jul-23</c:v>
                </c:pt>
                <c:pt idx="84">
                  <c:v>Aug-23</c:v>
                </c:pt>
                <c:pt idx="85">
                  <c:v>Sep-23</c:v>
                </c:pt>
                <c:pt idx="86">
                  <c:v>Oct-23</c:v>
                </c:pt>
                <c:pt idx="87">
                  <c:v>Nov-23</c:v>
                </c:pt>
                <c:pt idx="88">
                  <c:v>Dec-23</c:v>
                </c:pt>
                <c:pt idx="89">
                  <c:v>Jan-24</c:v>
                </c:pt>
                <c:pt idx="90">
                  <c:v>Feb-24</c:v>
                </c:pt>
                <c:pt idx="91">
                  <c:v>Mar-24</c:v>
                </c:pt>
                <c:pt idx="92">
                  <c:v>Apr-24</c:v>
                </c:pt>
                <c:pt idx="93">
                  <c:v>May-24</c:v>
                </c:pt>
                <c:pt idx="94">
                  <c:v>Jun-24</c:v>
                </c:pt>
                <c:pt idx="95">
                  <c:v>Jul-24</c:v>
                </c:pt>
                <c:pt idx="96">
                  <c:v>Aug-24</c:v>
                </c:pt>
                <c:pt idx="97">
                  <c:v>Sep-24</c:v>
                </c:pt>
                <c:pt idx="98">
                  <c:v>Oct-24</c:v>
                </c:pt>
                <c:pt idx="99">
                  <c:v>Nov-24</c:v>
                </c:pt>
                <c:pt idx="100">
                  <c:v>Dec-24</c:v>
                </c:pt>
                <c:pt idx="101">
                  <c:v>Jan-25</c:v>
                </c:pt>
                <c:pt idx="102">
                  <c:v>Feb-25</c:v>
                </c:pt>
                <c:pt idx="103">
                  <c:v>Mar-25</c:v>
                </c:pt>
                <c:pt idx="104">
                  <c:v>Apr-25</c:v>
                </c:pt>
                <c:pt idx="105">
                  <c:v>May-25</c:v>
                </c:pt>
                <c:pt idx="106">
                  <c:v>Jun-25</c:v>
                </c:pt>
                <c:pt idx="107">
                  <c:v>Jul-25</c:v>
                </c:pt>
                <c:pt idx="108">
                  <c:v>Aug-25</c:v>
                </c:pt>
                <c:pt idx="109">
                  <c:v>Sep-25</c:v>
                </c:pt>
                <c:pt idx="110">
                  <c:v>Oct-25</c:v>
                </c:pt>
                <c:pt idx="111">
                  <c:v>Nov-25</c:v>
                </c:pt>
                <c:pt idx="112">
                  <c:v>Dec-25</c:v>
                </c:pt>
                <c:pt idx="113">
                  <c:v>Jan-26</c:v>
                </c:pt>
                <c:pt idx="114">
                  <c:v>Feb-26</c:v>
                </c:pt>
                <c:pt idx="115">
                  <c:v>Mar-26</c:v>
                </c:pt>
                <c:pt idx="116">
                  <c:v>Apr-26</c:v>
                </c:pt>
                <c:pt idx="117">
                  <c:v>May-26</c:v>
                </c:pt>
                <c:pt idx="118">
                  <c:v>Jun-26</c:v>
                </c:pt>
                <c:pt idx="119">
                  <c:v>Jul-26</c:v>
                </c:pt>
                <c:pt idx="120">
                  <c:v>Aug-26</c:v>
                </c:pt>
                <c:pt idx="121">
                  <c:v>Sep-26</c:v>
                </c:pt>
              </c:strCache>
            </c:strRef>
          </c:cat>
          <c:val>
            <c:numRef>
              <c:f>Pivots!$B$4:$B$126</c:f>
              <c:numCache>
                <c:formatCode>General</c:formatCode>
                <c:ptCount val="122"/>
                <c:pt idx="0">
                  <c:v>0</c:v>
                </c:pt>
                <c:pt idx="1">
                  <c:v>0</c:v>
                </c:pt>
                <c:pt idx="2">
                  <c:v>0</c:v>
                </c:pt>
                <c:pt idx="3">
                  <c:v>0</c:v>
                </c:pt>
                <c:pt idx="4">
                  <c:v>2E-3</c:v>
                </c:pt>
                <c:pt idx="5">
                  <c:v>4.0000000000000001E-3</c:v>
                </c:pt>
                <c:pt idx="6">
                  <c:v>4.0000000000000001E-3</c:v>
                </c:pt>
                <c:pt idx="7">
                  <c:v>6.0000000000000001E-3</c:v>
                </c:pt>
                <c:pt idx="8">
                  <c:v>7.0000000000000001E-3</c:v>
                </c:pt>
                <c:pt idx="9">
                  <c:v>8.9999999999999993E-3</c:v>
                </c:pt>
                <c:pt idx="10">
                  <c:v>0.01</c:v>
                </c:pt>
                <c:pt idx="11">
                  <c:v>1.2E-2</c:v>
                </c:pt>
                <c:pt idx="12">
                  <c:v>1.7000000000000001E-2</c:v>
                </c:pt>
                <c:pt idx="13">
                  <c:v>3.1E-2</c:v>
                </c:pt>
                <c:pt idx="14">
                  <c:v>7.6999999999999999E-2</c:v>
                </c:pt>
                <c:pt idx="15">
                  <c:v>0.105</c:v>
                </c:pt>
                <c:pt idx="16">
                  <c:v>0.14599999999999999</c:v>
                </c:pt>
                <c:pt idx="17">
                  <c:v>0.152</c:v>
                </c:pt>
                <c:pt idx="18">
                  <c:v>0.17100000000000001</c:v>
                </c:pt>
                <c:pt idx="19">
                  <c:v>0.17799999999999999</c:v>
                </c:pt>
                <c:pt idx="20">
                  <c:v>0.19</c:v>
                </c:pt>
                <c:pt idx="21">
                  <c:v>0.189</c:v>
                </c:pt>
                <c:pt idx="22">
                  <c:v>0.246</c:v>
                </c:pt>
                <c:pt idx="23">
                  <c:v>0.27400000000000002</c:v>
                </c:pt>
                <c:pt idx="24">
                  <c:v>0.312</c:v>
                </c:pt>
                <c:pt idx="25">
                  <c:v>0.40600000000000003</c:v>
                </c:pt>
                <c:pt idx="26">
                  <c:v>0.48199999999999998</c:v>
                </c:pt>
                <c:pt idx="27">
                  <c:v>0.52500000000000002</c:v>
                </c:pt>
                <c:pt idx="28">
                  <c:v>0.62</c:v>
                </c:pt>
                <c:pt idx="29">
                  <c:v>0.67300000000000004</c:v>
                </c:pt>
                <c:pt idx="30">
                  <c:v>0.67400000000000004</c:v>
                </c:pt>
                <c:pt idx="31">
                  <c:v>0.8</c:v>
                </c:pt>
                <c:pt idx="32">
                  <c:v>0.78200000000000003</c:v>
                </c:pt>
                <c:pt idx="33">
                  <c:v>0.73399999999999999</c:v>
                </c:pt>
                <c:pt idx="34">
                  <c:v>0.755</c:v>
                </c:pt>
                <c:pt idx="35">
                  <c:v>0.82199999999999995</c:v>
                </c:pt>
                <c:pt idx="36">
                  <c:v>0.91800000000000004</c:v>
                </c:pt>
                <c:pt idx="37">
                  <c:v>0.95499999999999996</c:v>
                </c:pt>
                <c:pt idx="38">
                  <c:v>1.1479999999999999</c:v>
                </c:pt>
                <c:pt idx="39">
                  <c:v>1.2190000000000001</c:v>
                </c:pt>
                <c:pt idx="40">
                  <c:v>1.3080000000000001</c:v>
                </c:pt>
                <c:pt idx="41">
                  <c:v>1.3049999999999999</c:v>
                </c:pt>
                <c:pt idx="42">
                  <c:v>1.3260000000000001</c:v>
                </c:pt>
                <c:pt idx="43">
                  <c:v>1.2470000000000001</c:v>
                </c:pt>
                <c:pt idx="44">
                  <c:v>1</c:v>
                </c:pt>
                <c:pt idx="45">
                  <c:v>1.2350000000000001</c:v>
                </c:pt>
                <c:pt idx="46">
                  <c:v>1.337</c:v>
                </c:pt>
                <c:pt idx="47">
                  <c:v>1.4970000000000001</c:v>
                </c:pt>
                <c:pt idx="48">
                  <c:v>1.619</c:v>
                </c:pt>
                <c:pt idx="49">
                  <c:v>1.8</c:v>
                </c:pt>
                <c:pt idx="50">
                  <c:v>2.0720000000000001</c:v>
                </c:pt>
                <c:pt idx="51">
                  <c:v>2.21</c:v>
                </c:pt>
                <c:pt idx="52">
                  <c:v>2.234</c:v>
                </c:pt>
                <c:pt idx="53">
                  <c:v>2.3029999999999999</c:v>
                </c:pt>
                <c:pt idx="54">
                  <c:v>2.2930000000000001</c:v>
                </c:pt>
                <c:pt idx="55">
                  <c:v>2.7320000000000002</c:v>
                </c:pt>
                <c:pt idx="56">
                  <c:v>2.641</c:v>
                </c:pt>
                <c:pt idx="57">
                  <c:v>2.54</c:v>
                </c:pt>
                <c:pt idx="58">
                  <c:v>2.8079999999999998</c:v>
                </c:pt>
                <c:pt idx="59">
                  <c:v>3.2480000000000002</c:v>
                </c:pt>
                <c:pt idx="60">
                  <c:v>3.556</c:v>
                </c:pt>
                <c:pt idx="61">
                  <c:v>3.6539999999999999</c:v>
                </c:pt>
                <c:pt idx="62">
                  <c:v>4.2190000000000003</c:v>
                </c:pt>
                <c:pt idx="63">
                  <c:v>4.1859999999999999</c:v>
                </c:pt>
                <c:pt idx="64">
                  <c:v>4.5659999999999998</c:v>
                </c:pt>
                <c:pt idx="65">
                  <c:v>4.617</c:v>
                </c:pt>
                <c:pt idx="66">
                  <c:v>4.5270000000000001</c:v>
                </c:pt>
                <c:pt idx="67">
                  <c:v>5.4059999999999997</c:v>
                </c:pt>
                <c:pt idx="68">
                  <c:v>5.5830000000000002</c:v>
                </c:pt>
                <c:pt idx="69">
                  <c:v>5.9550000000000001</c:v>
                </c:pt>
                <c:pt idx="70">
                  <c:v>5.8630000000000004</c:v>
                </c:pt>
                <c:pt idx="71">
                  <c:v>6.2880000000000003</c:v>
                </c:pt>
                <c:pt idx="72">
                  <c:v>6.58</c:v>
                </c:pt>
                <c:pt idx="73">
                  <c:v>6.7809999999999997</c:v>
                </c:pt>
                <c:pt idx="74">
                  <c:v>7.3049999999999997</c:v>
                </c:pt>
                <c:pt idx="75">
                  <c:v>7.3090000000000002</c:v>
                </c:pt>
                <c:pt idx="76">
                  <c:v>7.8289999999999997</c:v>
                </c:pt>
                <c:pt idx="77">
                  <c:v>8.0370000000000008</c:v>
                </c:pt>
                <c:pt idx="78">
                  <c:v>7.5350000000000001</c:v>
                </c:pt>
                <c:pt idx="79">
                  <c:v>8.6850000000000005</c:v>
                </c:pt>
                <c:pt idx="80">
                  <c:v>8.8629999999999995</c:v>
                </c:pt>
                <c:pt idx="81">
                  <c:v>9.4149999999999991</c:v>
                </c:pt>
                <c:pt idx="82">
                  <c:v>9.3350000000000009</c:v>
                </c:pt>
                <c:pt idx="83">
                  <c:v>9.9649999999999999</c:v>
                </c:pt>
                <c:pt idx="84">
                  <c:v>10.586</c:v>
                </c:pt>
                <c:pt idx="85">
                  <c:v>10.555999999999999</c:v>
                </c:pt>
                <c:pt idx="86">
                  <c:v>11.409000000000001</c:v>
                </c:pt>
                <c:pt idx="87">
                  <c:v>11.234999999999999</c:v>
                </c:pt>
                <c:pt idx="88">
                  <c:v>12.02</c:v>
                </c:pt>
                <c:pt idx="89">
                  <c:v>12.202999999999999</c:v>
                </c:pt>
                <c:pt idx="90">
                  <c:v>12.103</c:v>
                </c:pt>
                <c:pt idx="91">
                  <c:v>13.44</c:v>
                </c:pt>
                <c:pt idx="92">
                  <c:v>13.304</c:v>
                </c:pt>
                <c:pt idx="93">
                  <c:v>14.036</c:v>
                </c:pt>
                <c:pt idx="94">
                  <c:v>13.885</c:v>
                </c:pt>
                <c:pt idx="95">
                  <c:v>14.436</c:v>
                </c:pt>
                <c:pt idx="96">
                  <c:v>14.962999999999999</c:v>
                </c:pt>
                <c:pt idx="97">
                  <c:v>15.042</c:v>
                </c:pt>
                <c:pt idx="98">
                  <c:v>16.585000000000001</c:v>
                </c:pt>
                <c:pt idx="99">
                  <c:v>15.481999999999999</c:v>
                </c:pt>
                <c:pt idx="100">
                  <c:v>16.73</c:v>
                </c:pt>
                <c:pt idx="101">
                  <c:v>16.995999999999999</c:v>
                </c:pt>
                <c:pt idx="102">
                  <c:v>16.106000000000002</c:v>
                </c:pt>
                <c:pt idx="103">
                  <c:v>18.302</c:v>
                </c:pt>
                <c:pt idx="104">
                  <c:v>17.893000000000001</c:v>
                </c:pt>
                <c:pt idx="105">
                  <c:v>18.677</c:v>
                </c:pt>
                <c:pt idx="106">
                  <c:v>18.395</c:v>
                </c:pt>
                <c:pt idx="107">
                  <c:v>19.468</c:v>
                </c:pt>
                <c:pt idx="108">
                  <c:v>20.007999999999999</c:v>
                </c:pt>
                <c:pt idx="109">
                  <c:v>19.632999999999999</c:v>
                </c:pt>
                <c:pt idx="110">
                  <c:v>20.701000000000001</c:v>
                </c:pt>
                <c:pt idx="111">
                  <c:v>20.466999999999999</c:v>
                </c:pt>
                <c:pt idx="112">
                  <c:v>21.635000000000002</c:v>
                </c:pt>
                <c:pt idx="113">
                  <c:v>21.702999999999999</c:v>
                </c:pt>
                <c:pt idx="114">
                  <c:v>20.393999999999998</c:v>
                </c:pt>
                <c:pt idx="115">
                  <c:v>22.640999999999998</c:v>
                </c:pt>
                <c:pt idx="116">
                  <c:v>22.347000000000001</c:v>
                </c:pt>
                <c:pt idx="117">
                  <c:v>23.202000000000002</c:v>
                </c:pt>
                <c:pt idx="118">
                  <c:v>22.716000000000001</c:v>
                </c:pt>
                <c:pt idx="119">
                  <c:v>23.658000000000001</c:v>
                </c:pt>
                <c:pt idx="120">
                  <c:v>24.509</c:v>
                </c:pt>
                <c:pt idx="121">
                  <c:v>24.068000000000001</c:v>
                </c:pt>
              </c:numCache>
            </c:numRef>
          </c:val>
          <c:extLst>
            <c:ext xmlns:c16="http://schemas.microsoft.com/office/drawing/2014/chart" uri="{C3380CC4-5D6E-409C-BE32-E72D297353CC}">
              <c16:uniqueId val="{00000000-B57A-4129-BBEB-4393573A90AD}"/>
            </c:ext>
          </c:extLst>
        </c:ser>
        <c:dLbls>
          <c:showLegendKey val="0"/>
          <c:showVal val="0"/>
          <c:showCatName val="0"/>
          <c:showSerName val="0"/>
          <c:showPercent val="0"/>
          <c:showBubbleSize val="0"/>
        </c:dLbls>
        <c:gapWidth val="219"/>
        <c:overlap val="-27"/>
        <c:axId val="1326440527"/>
        <c:axId val="1267862063"/>
      </c:barChart>
      <c:lineChart>
        <c:grouping val="standard"/>
        <c:varyColors val="0"/>
        <c:ser>
          <c:idx val="1"/>
          <c:order val="1"/>
          <c:tx>
            <c:strRef>
              <c:f>Pivots!$C$3</c:f>
              <c:strCache>
                <c:ptCount val="1"/>
                <c:pt idx="0">
                  <c:v>Value (₹ lakh cr)</c:v>
                </c:pt>
              </c:strCache>
            </c:strRef>
          </c:tx>
          <c:spPr>
            <a:ln w="28575" cap="rnd">
              <a:solidFill>
                <a:schemeClr val="accent2"/>
              </a:solidFill>
              <a:round/>
            </a:ln>
            <a:effectLst/>
          </c:spPr>
          <c:marker>
            <c:symbol val="none"/>
          </c:marker>
          <c:cat>
            <c:strRef>
              <c:f>Pivots!$A$4:$A$126</c:f>
              <c:strCache>
                <c:ptCount val="122"/>
                <c:pt idx="0">
                  <c:v>Aug-16</c:v>
                </c:pt>
                <c:pt idx="1">
                  <c:v>Sep-16</c:v>
                </c:pt>
                <c:pt idx="2">
                  <c:v>Oct-16</c:v>
                </c:pt>
                <c:pt idx="3">
                  <c:v>Nov-16</c:v>
                </c:pt>
                <c:pt idx="4">
                  <c:v>Dec-16</c:v>
                </c:pt>
                <c:pt idx="5">
                  <c:v>Jan-17</c:v>
                </c:pt>
                <c:pt idx="6">
                  <c:v>Feb-17</c:v>
                </c:pt>
                <c:pt idx="7">
                  <c:v>Mar-17</c:v>
                </c:pt>
                <c:pt idx="8">
                  <c:v>Apr-17</c:v>
                </c:pt>
                <c:pt idx="9">
                  <c:v>May-17</c:v>
                </c:pt>
                <c:pt idx="10">
                  <c:v>Jun-17</c:v>
                </c:pt>
                <c:pt idx="11">
                  <c:v>Jul-17</c:v>
                </c:pt>
                <c:pt idx="12">
                  <c:v>Aug-17</c:v>
                </c:pt>
                <c:pt idx="13">
                  <c:v>Sep-17</c:v>
                </c:pt>
                <c:pt idx="14">
                  <c:v>Oct-17</c:v>
                </c:pt>
                <c:pt idx="15">
                  <c:v>Nov-17</c:v>
                </c:pt>
                <c:pt idx="16">
                  <c:v>Dec-17</c:v>
                </c:pt>
                <c:pt idx="17">
                  <c:v>Jan-18</c:v>
                </c:pt>
                <c:pt idx="18">
                  <c:v>Feb-18</c:v>
                </c:pt>
                <c:pt idx="19">
                  <c:v>Mar-18</c:v>
                </c:pt>
                <c:pt idx="20">
                  <c:v>Apr-18</c:v>
                </c:pt>
                <c:pt idx="21">
                  <c:v>May-18</c:v>
                </c:pt>
                <c:pt idx="22">
                  <c:v>Jun-18</c:v>
                </c:pt>
                <c:pt idx="23">
                  <c:v>Jul-18</c:v>
                </c:pt>
                <c:pt idx="24">
                  <c:v>Aug-18</c:v>
                </c:pt>
                <c:pt idx="25">
                  <c:v>Sep-18</c:v>
                </c:pt>
                <c:pt idx="26">
                  <c:v>Oct-18</c:v>
                </c:pt>
                <c:pt idx="27">
                  <c:v>Nov-18</c:v>
                </c:pt>
                <c:pt idx="28">
                  <c:v>Dec-18</c:v>
                </c:pt>
                <c:pt idx="29">
                  <c:v>Jan-19</c:v>
                </c:pt>
                <c:pt idx="30">
                  <c:v>Feb-19</c:v>
                </c:pt>
                <c:pt idx="31">
                  <c:v>Mar-19</c:v>
                </c:pt>
                <c:pt idx="32">
                  <c:v>Apr-19</c:v>
                </c:pt>
                <c:pt idx="33">
                  <c:v>May-19</c:v>
                </c:pt>
                <c:pt idx="34">
                  <c:v>Jun-19</c:v>
                </c:pt>
                <c:pt idx="35">
                  <c:v>Jul-19</c:v>
                </c:pt>
                <c:pt idx="36">
                  <c:v>Aug-19</c:v>
                </c:pt>
                <c:pt idx="37">
                  <c:v>Sep-19</c:v>
                </c:pt>
                <c:pt idx="38">
                  <c:v>Oct-19</c:v>
                </c:pt>
                <c:pt idx="39">
                  <c:v>Nov-19</c:v>
                </c:pt>
                <c:pt idx="40">
                  <c:v>Dec-19</c:v>
                </c:pt>
                <c:pt idx="41">
                  <c:v>Jan-20</c:v>
                </c:pt>
                <c:pt idx="42">
                  <c:v>Feb-20</c:v>
                </c:pt>
                <c:pt idx="43">
                  <c:v>Mar-20</c:v>
                </c:pt>
                <c:pt idx="44">
                  <c:v>Apr-20</c:v>
                </c:pt>
                <c:pt idx="45">
                  <c:v>May-20</c:v>
                </c:pt>
                <c:pt idx="46">
                  <c:v>Jun-20</c:v>
                </c:pt>
                <c:pt idx="47">
                  <c:v>Jul-20</c:v>
                </c:pt>
                <c:pt idx="48">
                  <c:v>Aug-20</c:v>
                </c:pt>
                <c:pt idx="49">
                  <c:v>Sep-20</c:v>
                </c:pt>
                <c:pt idx="50">
                  <c:v>Oct-20</c:v>
                </c:pt>
                <c:pt idx="51">
                  <c:v>Nov-20</c:v>
                </c:pt>
                <c:pt idx="52">
                  <c:v>Dec-20</c:v>
                </c:pt>
                <c:pt idx="53">
                  <c:v>Jan-21</c:v>
                </c:pt>
                <c:pt idx="54">
                  <c:v>Feb-21</c:v>
                </c:pt>
                <c:pt idx="55">
                  <c:v>Mar-21</c:v>
                </c:pt>
                <c:pt idx="56">
                  <c:v>Apr-21</c:v>
                </c:pt>
                <c:pt idx="57">
                  <c:v>May-21</c:v>
                </c:pt>
                <c:pt idx="58">
                  <c:v>Jun-21</c:v>
                </c:pt>
                <c:pt idx="59">
                  <c:v>Jul-21</c:v>
                </c:pt>
                <c:pt idx="60">
                  <c:v>Aug-21</c:v>
                </c:pt>
                <c:pt idx="61">
                  <c:v>Sep-21</c:v>
                </c:pt>
                <c:pt idx="62">
                  <c:v>Oct-21</c:v>
                </c:pt>
                <c:pt idx="63">
                  <c:v>Nov-21</c:v>
                </c:pt>
                <c:pt idx="64">
                  <c:v>Dec-21</c:v>
                </c:pt>
                <c:pt idx="65">
                  <c:v>Jan-22</c:v>
                </c:pt>
                <c:pt idx="66">
                  <c:v>Feb-22</c:v>
                </c:pt>
                <c:pt idx="67">
                  <c:v>Mar-22</c:v>
                </c:pt>
                <c:pt idx="68">
                  <c:v>Apr-22</c:v>
                </c:pt>
                <c:pt idx="69">
                  <c:v>May-22</c:v>
                </c:pt>
                <c:pt idx="70">
                  <c:v>Jun-22</c:v>
                </c:pt>
                <c:pt idx="71">
                  <c:v>Jul-22</c:v>
                </c:pt>
                <c:pt idx="72">
                  <c:v>Aug-22</c:v>
                </c:pt>
                <c:pt idx="73">
                  <c:v>Sep-22</c:v>
                </c:pt>
                <c:pt idx="74">
                  <c:v>Oct-22</c:v>
                </c:pt>
                <c:pt idx="75">
                  <c:v>Nov-22</c:v>
                </c:pt>
                <c:pt idx="76">
                  <c:v>Dec-22</c:v>
                </c:pt>
                <c:pt idx="77">
                  <c:v>Jan-23</c:v>
                </c:pt>
                <c:pt idx="78">
                  <c:v>Feb-23</c:v>
                </c:pt>
                <c:pt idx="79">
                  <c:v>Mar-23</c:v>
                </c:pt>
                <c:pt idx="80">
                  <c:v>Apr-23</c:v>
                </c:pt>
                <c:pt idx="81">
                  <c:v>May-23</c:v>
                </c:pt>
                <c:pt idx="82">
                  <c:v>Jun-23</c:v>
                </c:pt>
                <c:pt idx="83">
                  <c:v>Jul-23</c:v>
                </c:pt>
                <c:pt idx="84">
                  <c:v>Aug-23</c:v>
                </c:pt>
                <c:pt idx="85">
                  <c:v>Sep-23</c:v>
                </c:pt>
                <c:pt idx="86">
                  <c:v>Oct-23</c:v>
                </c:pt>
                <c:pt idx="87">
                  <c:v>Nov-23</c:v>
                </c:pt>
                <c:pt idx="88">
                  <c:v>Dec-23</c:v>
                </c:pt>
                <c:pt idx="89">
                  <c:v>Jan-24</c:v>
                </c:pt>
                <c:pt idx="90">
                  <c:v>Feb-24</c:v>
                </c:pt>
                <c:pt idx="91">
                  <c:v>Mar-24</c:v>
                </c:pt>
                <c:pt idx="92">
                  <c:v>Apr-24</c:v>
                </c:pt>
                <c:pt idx="93">
                  <c:v>May-24</c:v>
                </c:pt>
                <c:pt idx="94">
                  <c:v>Jun-24</c:v>
                </c:pt>
                <c:pt idx="95">
                  <c:v>Jul-24</c:v>
                </c:pt>
                <c:pt idx="96">
                  <c:v>Aug-24</c:v>
                </c:pt>
                <c:pt idx="97">
                  <c:v>Sep-24</c:v>
                </c:pt>
                <c:pt idx="98">
                  <c:v>Oct-24</c:v>
                </c:pt>
                <c:pt idx="99">
                  <c:v>Nov-24</c:v>
                </c:pt>
                <c:pt idx="100">
                  <c:v>Dec-24</c:v>
                </c:pt>
                <c:pt idx="101">
                  <c:v>Jan-25</c:v>
                </c:pt>
                <c:pt idx="102">
                  <c:v>Feb-25</c:v>
                </c:pt>
                <c:pt idx="103">
                  <c:v>Mar-25</c:v>
                </c:pt>
                <c:pt idx="104">
                  <c:v>Apr-25</c:v>
                </c:pt>
                <c:pt idx="105">
                  <c:v>May-25</c:v>
                </c:pt>
                <c:pt idx="106">
                  <c:v>Jun-25</c:v>
                </c:pt>
                <c:pt idx="107">
                  <c:v>Jul-25</c:v>
                </c:pt>
                <c:pt idx="108">
                  <c:v>Aug-25</c:v>
                </c:pt>
                <c:pt idx="109">
                  <c:v>Sep-25</c:v>
                </c:pt>
                <c:pt idx="110">
                  <c:v>Oct-25</c:v>
                </c:pt>
                <c:pt idx="111">
                  <c:v>Nov-25</c:v>
                </c:pt>
                <c:pt idx="112">
                  <c:v>Dec-25</c:v>
                </c:pt>
                <c:pt idx="113">
                  <c:v>Jan-26</c:v>
                </c:pt>
                <c:pt idx="114">
                  <c:v>Feb-26</c:v>
                </c:pt>
                <c:pt idx="115">
                  <c:v>Mar-26</c:v>
                </c:pt>
                <c:pt idx="116">
                  <c:v>Apr-26</c:v>
                </c:pt>
                <c:pt idx="117">
                  <c:v>May-26</c:v>
                </c:pt>
                <c:pt idx="118">
                  <c:v>Jun-26</c:v>
                </c:pt>
                <c:pt idx="119">
                  <c:v>Jul-26</c:v>
                </c:pt>
                <c:pt idx="120">
                  <c:v>Aug-26</c:v>
                </c:pt>
                <c:pt idx="121">
                  <c:v>Sep-26</c:v>
                </c:pt>
              </c:strCache>
            </c:strRef>
          </c:cat>
          <c:val>
            <c:numRef>
              <c:f>Pivots!$C$4:$C$126</c:f>
              <c:numCache>
                <c:formatCode>General</c:formatCode>
                <c:ptCount val="122"/>
                <c:pt idx="0">
                  <c:v>0</c:v>
                </c:pt>
                <c:pt idx="1">
                  <c:v>0</c:v>
                </c:pt>
                <c:pt idx="2">
                  <c:v>0</c:v>
                </c:pt>
                <c:pt idx="3">
                  <c:v>1E-3</c:v>
                </c:pt>
                <c:pt idx="4">
                  <c:v>7.0000000000000001E-3</c:v>
                </c:pt>
                <c:pt idx="5">
                  <c:v>1.7000000000000001E-2</c:v>
                </c:pt>
                <c:pt idx="6">
                  <c:v>1.9E-2</c:v>
                </c:pt>
                <c:pt idx="7">
                  <c:v>2.4E-2</c:v>
                </c:pt>
                <c:pt idx="8">
                  <c:v>2.3E-2</c:v>
                </c:pt>
                <c:pt idx="9">
                  <c:v>2.8000000000000001E-2</c:v>
                </c:pt>
                <c:pt idx="10">
                  <c:v>3.1E-2</c:v>
                </c:pt>
                <c:pt idx="11">
                  <c:v>3.4000000000000002E-2</c:v>
                </c:pt>
                <c:pt idx="12">
                  <c:v>4.2000000000000003E-2</c:v>
                </c:pt>
                <c:pt idx="13">
                  <c:v>5.2999999999999999E-2</c:v>
                </c:pt>
                <c:pt idx="14">
                  <c:v>7.0999999999999994E-2</c:v>
                </c:pt>
                <c:pt idx="15">
                  <c:v>9.7000000000000003E-2</c:v>
                </c:pt>
                <c:pt idx="16">
                  <c:v>0.13200000000000001</c:v>
                </c:pt>
                <c:pt idx="17">
                  <c:v>0.156</c:v>
                </c:pt>
                <c:pt idx="18">
                  <c:v>0.191</c:v>
                </c:pt>
                <c:pt idx="19">
                  <c:v>0.24199999999999999</c:v>
                </c:pt>
                <c:pt idx="20">
                  <c:v>0.27</c:v>
                </c:pt>
                <c:pt idx="21">
                  <c:v>0.33300000000000002</c:v>
                </c:pt>
                <c:pt idx="22">
                  <c:v>0.40799999999999997</c:v>
                </c:pt>
                <c:pt idx="23">
                  <c:v>0.51800000000000002</c:v>
                </c:pt>
                <c:pt idx="24">
                  <c:v>0.54200000000000004</c:v>
                </c:pt>
                <c:pt idx="25">
                  <c:v>0.59799999999999998</c:v>
                </c:pt>
                <c:pt idx="26">
                  <c:v>0.75</c:v>
                </c:pt>
                <c:pt idx="27">
                  <c:v>0.82199999999999995</c:v>
                </c:pt>
                <c:pt idx="28">
                  <c:v>1.026</c:v>
                </c:pt>
                <c:pt idx="29">
                  <c:v>1.099</c:v>
                </c:pt>
                <c:pt idx="30">
                  <c:v>1.0669999999999999</c:v>
                </c:pt>
                <c:pt idx="31">
                  <c:v>1.335</c:v>
                </c:pt>
                <c:pt idx="32">
                  <c:v>1.42</c:v>
                </c:pt>
                <c:pt idx="33">
                  <c:v>1.524</c:v>
                </c:pt>
                <c:pt idx="34">
                  <c:v>1.466</c:v>
                </c:pt>
                <c:pt idx="35">
                  <c:v>1.464</c:v>
                </c:pt>
                <c:pt idx="36">
                  <c:v>1.5449999999999999</c:v>
                </c:pt>
                <c:pt idx="37">
                  <c:v>1.615</c:v>
                </c:pt>
                <c:pt idx="38">
                  <c:v>1.9139999999999999</c:v>
                </c:pt>
                <c:pt idx="39">
                  <c:v>1.8919999999999999</c:v>
                </c:pt>
                <c:pt idx="40">
                  <c:v>2.0249999999999999</c:v>
                </c:pt>
                <c:pt idx="41">
                  <c:v>2.1619999999999999</c:v>
                </c:pt>
                <c:pt idx="42">
                  <c:v>2.2250000000000001</c:v>
                </c:pt>
                <c:pt idx="43">
                  <c:v>2.0649999999999999</c:v>
                </c:pt>
                <c:pt idx="44">
                  <c:v>1.5109999999999999</c:v>
                </c:pt>
                <c:pt idx="45">
                  <c:v>2.1840000000000002</c:v>
                </c:pt>
                <c:pt idx="46">
                  <c:v>2.6179999999999999</c:v>
                </c:pt>
                <c:pt idx="47">
                  <c:v>2.9049999999999998</c:v>
                </c:pt>
                <c:pt idx="48">
                  <c:v>2.9830000000000001</c:v>
                </c:pt>
                <c:pt idx="49">
                  <c:v>3.29</c:v>
                </c:pt>
                <c:pt idx="50">
                  <c:v>3.8610000000000002</c:v>
                </c:pt>
                <c:pt idx="51">
                  <c:v>3.91</c:v>
                </c:pt>
                <c:pt idx="52">
                  <c:v>4.1619999999999999</c:v>
                </c:pt>
                <c:pt idx="53">
                  <c:v>4.3120000000000003</c:v>
                </c:pt>
                <c:pt idx="54">
                  <c:v>4.2510000000000003</c:v>
                </c:pt>
                <c:pt idx="55">
                  <c:v>5.0490000000000004</c:v>
                </c:pt>
                <c:pt idx="56">
                  <c:v>4.9370000000000003</c:v>
                </c:pt>
                <c:pt idx="57">
                  <c:v>4.9059999999999997</c:v>
                </c:pt>
                <c:pt idx="58">
                  <c:v>5.4740000000000002</c:v>
                </c:pt>
                <c:pt idx="59">
                  <c:v>6.0629999999999997</c:v>
                </c:pt>
                <c:pt idx="60">
                  <c:v>6.391</c:v>
                </c:pt>
                <c:pt idx="61">
                  <c:v>6.5439999999999996</c:v>
                </c:pt>
                <c:pt idx="62">
                  <c:v>7.7140000000000004</c:v>
                </c:pt>
                <c:pt idx="63">
                  <c:v>7.6840000000000002</c:v>
                </c:pt>
                <c:pt idx="64">
                  <c:v>8.2680000000000007</c:v>
                </c:pt>
                <c:pt idx="65">
                  <c:v>8.32</c:v>
                </c:pt>
                <c:pt idx="66">
                  <c:v>8.2680000000000007</c:v>
                </c:pt>
                <c:pt idx="67">
                  <c:v>9.6059999999999999</c:v>
                </c:pt>
                <c:pt idx="68">
                  <c:v>9.8330000000000002</c:v>
                </c:pt>
                <c:pt idx="69">
                  <c:v>10.414999999999999</c:v>
                </c:pt>
                <c:pt idx="70">
                  <c:v>10.144</c:v>
                </c:pt>
                <c:pt idx="71">
                  <c:v>10.63</c:v>
                </c:pt>
                <c:pt idx="72">
                  <c:v>10.728</c:v>
                </c:pt>
                <c:pt idx="73">
                  <c:v>11.164</c:v>
                </c:pt>
                <c:pt idx="74">
                  <c:v>12.116</c:v>
                </c:pt>
                <c:pt idx="75">
                  <c:v>11.906000000000001</c:v>
                </c:pt>
                <c:pt idx="76">
                  <c:v>12.821</c:v>
                </c:pt>
                <c:pt idx="77">
                  <c:v>12.987</c:v>
                </c:pt>
                <c:pt idx="78">
                  <c:v>12.358000000000001</c:v>
                </c:pt>
                <c:pt idx="79">
                  <c:v>14.103999999999999</c:v>
                </c:pt>
                <c:pt idx="80">
                  <c:v>14.154999999999999</c:v>
                </c:pt>
                <c:pt idx="81">
                  <c:v>14.891</c:v>
                </c:pt>
                <c:pt idx="82">
                  <c:v>14.755000000000001</c:v>
                </c:pt>
                <c:pt idx="83">
                  <c:v>15.335000000000001</c:v>
                </c:pt>
                <c:pt idx="84">
                  <c:v>15.765000000000001</c:v>
                </c:pt>
                <c:pt idx="85">
                  <c:v>15.791</c:v>
                </c:pt>
                <c:pt idx="86">
                  <c:v>17.158000000000001</c:v>
                </c:pt>
                <c:pt idx="87">
                  <c:v>17.396999999999998</c:v>
                </c:pt>
                <c:pt idx="88">
                  <c:v>18.228999999999999</c:v>
                </c:pt>
                <c:pt idx="89">
                  <c:v>18.411000000000001</c:v>
                </c:pt>
                <c:pt idx="90">
                  <c:v>18.279</c:v>
                </c:pt>
                <c:pt idx="91">
                  <c:v>19.783999999999999</c:v>
                </c:pt>
                <c:pt idx="92">
                  <c:v>19.645</c:v>
                </c:pt>
                <c:pt idx="93">
                  <c:v>20.449000000000002</c:v>
                </c:pt>
                <c:pt idx="94">
                  <c:v>20.071000000000002</c:v>
                </c:pt>
                <c:pt idx="95">
                  <c:v>20.643000000000001</c:v>
                </c:pt>
                <c:pt idx="96">
                  <c:v>20.606999999999999</c:v>
                </c:pt>
                <c:pt idx="97">
                  <c:v>20.64</c:v>
                </c:pt>
                <c:pt idx="98">
                  <c:v>23.498000000000001</c:v>
                </c:pt>
                <c:pt idx="99">
                  <c:v>21.552</c:v>
                </c:pt>
                <c:pt idx="100">
                  <c:v>23.247</c:v>
                </c:pt>
                <c:pt idx="101">
                  <c:v>23.48</c:v>
                </c:pt>
                <c:pt idx="102">
                  <c:v>21.965</c:v>
                </c:pt>
                <c:pt idx="103">
                  <c:v>24.771999999999998</c:v>
                </c:pt>
                <c:pt idx="104">
                  <c:v>23.949000000000002</c:v>
                </c:pt>
                <c:pt idx="105">
                  <c:v>25.143000000000001</c:v>
                </c:pt>
                <c:pt idx="106">
                  <c:v>24.039000000000001</c:v>
                </c:pt>
                <c:pt idx="107">
                  <c:v>25.085000000000001</c:v>
                </c:pt>
                <c:pt idx="108">
                  <c:v>24.855</c:v>
                </c:pt>
                <c:pt idx="109">
                  <c:v>24.896999999999998</c:v>
                </c:pt>
                <c:pt idx="110">
                  <c:v>27.277999999999999</c:v>
                </c:pt>
                <c:pt idx="111">
                  <c:v>26.315999999999999</c:v>
                </c:pt>
                <c:pt idx="112">
                  <c:v>27.966999999999999</c:v>
                </c:pt>
                <c:pt idx="113">
                  <c:v>28.335000000000001</c:v>
                </c:pt>
                <c:pt idx="114">
                  <c:v>26.841999999999999</c:v>
                </c:pt>
                <c:pt idx="115">
                  <c:v>29.524999999999999</c:v>
                </c:pt>
                <c:pt idx="116">
                  <c:v>29.03</c:v>
                </c:pt>
                <c:pt idx="117">
                  <c:v>29.904</c:v>
                </c:pt>
                <c:pt idx="118">
                  <c:v>28.920999999999999</c:v>
                </c:pt>
                <c:pt idx="119">
                  <c:v>29.879000000000001</c:v>
                </c:pt>
                <c:pt idx="120">
                  <c:v>29.824000000000002</c:v>
                </c:pt>
                <c:pt idx="121">
                  <c:v>29.373999999999999</c:v>
                </c:pt>
              </c:numCache>
            </c:numRef>
          </c:val>
          <c:smooth val="0"/>
          <c:extLst>
            <c:ext xmlns:c16="http://schemas.microsoft.com/office/drawing/2014/chart" uri="{C3380CC4-5D6E-409C-BE32-E72D297353CC}">
              <c16:uniqueId val="{00000001-B57A-4129-BBEB-4393573A90AD}"/>
            </c:ext>
          </c:extLst>
        </c:ser>
        <c:dLbls>
          <c:showLegendKey val="0"/>
          <c:showVal val="0"/>
          <c:showCatName val="0"/>
          <c:showSerName val="0"/>
          <c:showPercent val="0"/>
          <c:showBubbleSize val="0"/>
        </c:dLbls>
        <c:marker val="1"/>
        <c:smooth val="0"/>
        <c:axId val="1429957599"/>
        <c:axId val="1267803023"/>
      </c:lineChart>
      <c:catAx>
        <c:axId val="132644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7862063"/>
        <c:crosses val="autoZero"/>
        <c:auto val="1"/>
        <c:lblAlgn val="ctr"/>
        <c:lblOffset val="100"/>
        <c:tickLblSkip val="12"/>
        <c:noMultiLvlLbl val="0"/>
      </c:catAx>
      <c:valAx>
        <c:axId val="1267862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Volume (bn)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6440527"/>
        <c:crosses val="autoZero"/>
        <c:crossBetween val="between"/>
      </c:valAx>
      <c:valAx>
        <c:axId val="12678030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Value (₹ lakh cr)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9957599"/>
        <c:crosses val="max"/>
        <c:crossBetween val="between"/>
      </c:valAx>
      <c:catAx>
        <c:axId val="1429957599"/>
        <c:scaling>
          <c:orientation val="minMax"/>
        </c:scaling>
        <c:delete val="1"/>
        <c:axPos val="b"/>
        <c:numFmt formatCode="General" sourceLinked="1"/>
        <c:majorTickMark val="out"/>
        <c:minorTickMark val="none"/>
        <c:tickLblPos val="nextTo"/>
        <c:crossAx val="1267803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YoY growth has cooled to ~22%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v>YoY volume growth %</c:v>
          </c:tx>
          <c:spPr>
            <a:solidFill>
              <a:schemeClr val="accent1"/>
            </a:solidFill>
            <a:ln>
              <a:noFill/>
            </a:ln>
            <a:effectLst/>
          </c:spPr>
          <c:invertIfNegative val="0"/>
          <c:cat>
            <c:numRef>
              <c:f>Calc!$D$1:$D$24</c:f>
              <c:numCache>
                <c:formatCode>mmm\-yy</c:formatCode>
                <c:ptCount val="24"/>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pt idx="16">
                  <c:v>46054</c:v>
                </c:pt>
                <c:pt idx="17">
                  <c:v>46082</c:v>
                </c:pt>
                <c:pt idx="18">
                  <c:v>46113</c:v>
                </c:pt>
                <c:pt idx="19">
                  <c:v>46143</c:v>
                </c:pt>
                <c:pt idx="20">
                  <c:v>46174</c:v>
                </c:pt>
                <c:pt idx="21">
                  <c:v>46204</c:v>
                </c:pt>
                <c:pt idx="22">
                  <c:v>46235</c:v>
                </c:pt>
                <c:pt idx="23">
                  <c:v>46266</c:v>
                </c:pt>
              </c:numCache>
            </c:numRef>
          </c:cat>
          <c:val>
            <c:numRef>
              <c:f>Calc!$E$1:$E$24</c:f>
              <c:numCache>
                <c:formatCode>General</c:formatCode>
                <c:ptCount val="24"/>
                <c:pt idx="0">
                  <c:v>45.4</c:v>
                </c:pt>
                <c:pt idx="1">
                  <c:v>37.799999999999997</c:v>
                </c:pt>
                <c:pt idx="2">
                  <c:v>39.200000000000003</c:v>
                </c:pt>
                <c:pt idx="3">
                  <c:v>39.299999999999997</c:v>
                </c:pt>
                <c:pt idx="4">
                  <c:v>33.1</c:v>
                </c:pt>
                <c:pt idx="5">
                  <c:v>36.200000000000003</c:v>
                </c:pt>
                <c:pt idx="6">
                  <c:v>34.5</c:v>
                </c:pt>
                <c:pt idx="7">
                  <c:v>33.1</c:v>
                </c:pt>
                <c:pt idx="8">
                  <c:v>32.5</c:v>
                </c:pt>
                <c:pt idx="9">
                  <c:v>34.9</c:v>
                </c:pt>
                <c:pt idx="10">
                  <c:v>33.700000000000003</c:v>
                </c:pt>
                <c:pt idx="11">
                  <c:v>30.5</c:v>
                </c:pt>
                <c:pt idx="12">
                  <c:v>24.8</c:v>
                </c:pt>
                <c:pt idx="13">
                  <c:v>32.200000000000003</c:v>
                </c:pt>
                <c:pt idx="14">
                  <c:v>29.3</c:v>
                </c:pt>
                <c:pt idx="15">
                  <c:v>27.7</c:v>
                </c:pt>
                <c:pt idx="16">
                  <c:v>26.6</c:v>
                </c:pt>
                <c:pt idx="17">
                  <c:v>23.7</c:v>
                </c:pt>
                <c:pt idx="18">
                  <c:v>24.9</c:v>
                </c:pt>
                <c:pt idx="19">
                  <c:v>24.2</c:v>
                </c:pt>
                <c:pt idx="20">
                  <c:v>23.5</c:v>
                </c:pt>
                <c:pt idx="21">
                  <c:v>21.5</c:v>
                </c:pt>
                <c:pt idx="22">
                  <c:v>22.5</c:v>
                </c:pt>
                <c:pt idx="23">
                  <c:v>22.6</c:v>
                </c:pt>
              </c:numCache>
            </c:numRef>
          </c:val>
          <c:extLst>
            <c:ext xmlns:c16="http://schemas.microsoft.com/office/drawing/2014/chart" uri="{C3380CC4-5D6E-409C-BE32-E72D297353CC}">
              <c16:uniqueId val="{00000000-235A-4C3A-9B5E-CA89A53CB83C}"/>
            </c:ext>
          </c:extLst>
        </c:ser>
        <c:dLbls>
          <c:showLegendKey val="0"/>
          <c:showVal val="0"/>
          <c:showCatName val="0"/>
          <c:showSerName val="0"/>
          <c:showPercent val="0"/>
          <c:showBubbleSize val="0"/>
        </c:dLbls>
        <c:gapWidth val="219"/>
        <c:overlap val="-27"/>
        <c:axId val="1395923375"/>
        <c:axId val="1433770671"/>
      </c:barChart>
      <c:catAx>
        <c:axId val="139592337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70671"/>
        <c:crosses val="autoZero"/>
        <c:auto val="0"/>
        <c:lblAlgn val="ctr"/>
        <c:lblOffset val="100"/>
        <c:noMultiLvlLbl val="0"/>
      </c:catAx>
      <c:valAx>
        <c:axId val="1433770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YoY growth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59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[upi_analysis-final.xlsx]Pivots!PivotTable2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PhonePe and Google Pay are slowly losing share to challengers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Pivots!$W$3:$W$4</c:f>
              <c:strCache>
                <c:ptCount val="1"/>
                <c:pt idx="0">
                  <c:v>Challengers</c:v>
                </c:pt>
              </c:strCache>
            </c:strRef>
          </c:tx>
          <c:spPr>
            <a:ln w="28575" cap="rnd">
              <a:solidFill>
                <a:schemeClr val="accent1"/>
              </a:solidFill>
              <a:round/>
            </a:ln>
            <a:effectLst/>
          </c:spPr>
          <c:marker>
            <c:symbol val="none"/>
          </c:marker>
          <c:cat>
            <c:strRef>
              <c:f>Pivots!$V$5:$V$29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Pivots!$W$5:$W$29</c:f>
              <c:numCache>
                <c:formatCode>General</c:formatCode>
                <c:ptCount val="24"/>
                <c:pt idx="0">
                  <c:v>6.229999999999996</c:v>
                </c:pt>
                <c:pt idx="1">
                  <c:v>6.5899999999999928</c:v>
                </c:pt>
                <c:pt idx="2">
                  <c:v>6.8099999999999961</c:v>
                </c:pt>
                <c:pt idx="3">
                  <c:v>7.2399999999999949</c:v>
                </c:pt>
                <c:pt idx="4">
                  <c:v>7.6199999999999974</c:v>
                </c:pt>
                <c:pt idx="5">
                  <c:v>8.0299999999999976</c:v>
                </c:pt>
                <c:pt idx="6">
                  <c:v>8.4999999999999964</c:v>
                </c:pt>
                <c:pt idx="7">
                  <c:v>8.5899999999999963</c:v>
                </c:pt>
                <c:pt idx="8">
                  <c:v>8.9899999999999949</c:v>
                </c:pt>
                <c:pt idx="9">
                  <c:v>9.4299999999999944</c:v>
                </c:pt>
                <c:pt idx="10">
                  <c:v>9.7999999999999918</c:v>
                </c:pt>
                <c:pt idx="11">
                  <c:v>10.149999999999993</c:v>
                </c:pt>
                <c:pt idx="12">
                  <c:v>10.639999999999995</c:v>
                </c:pt>
                <c:pt idx="13">
                  <c:v>10.359999999999992</c:v>
                </c:pt>
                <c:pt idx="14">
                  <c:v>10.629999999999994</c:v>
                </c:pt>
                <c:pt idx="15">
                  <c:v>10.879999999999992</c:v>
                </c:pt>
                <c:pt idx="16">
                  <c:v>11.299999999999995</c:v>
                </c:pt>
                <c:pt idx="17">
                  <c:v>11.279999999999994</c:v>
                </c:pt>
                <c:pt idx="18">
                  <c:v>11.799999999999994</c:v>
                </c:pt>
                <c:pt idx="19">
                  <c:v>12.179999999999993</c:v>
                </c:pt>
                <c:pt idx="20">
                  <c:v>12.419999999999993</c:v>
                </c:pt>
                <c:pt idx="21">
                  <c:v>12.639999999999993</c:v>
                </c:pt>
                <c:pt idx="22">
                  <c:v>13.089999999999995</c:v>
                </c:pt>
                <c:pt idx="23">
                  <c:v>13.489999999999995</c:v>
                </c:pt>
              </c:numCache>
            </c:numRef>
          </c:val>
          <c:smooth val="0"/>
          <c:extLst>
            <c:ext xmlns:c16="http://schemas.microsoft.com/office/drawing/2014/chart" uri="{C3380CC4-5D6E-409C-BE32-E72D297353CC}">
              <c16:uniqueId val="{00000000-6964-440C-98AD-EC076F4ACC2A}"/>
            </c:ext>
          </c:extLst>
        </c:ser>
        <c:ser>
          <c:idx val="1"/>
          <c:order val="1"/>
          <c:tx>
            <c:strRef>
              <c:f>Pivots!$X$3:$X$4</c:f>
              <c:strCache>
                <c:ptCount val="1"/>
                <c:pt idx="0">
                  <c:v>Google Pay</c:v>
                </c:pt>
              </c:strCache>
            </c:strRef>
          </c:tx>
          <c:spPr>
            <a:ln w="28575" cap="rnd">
              <a:solidFill>
                <a:schemeClr val="accent2"/>
              </a:solidFill>
              <a:round/>
            </a:ln>
            <a:effectLst/>
          </c:spPr>
          <c:marker>
            <c:symbol val="none"/>
          </c:marker>
          <c:cat>
            <c:strRef>
              <c:f>Pivots!$V$5:$V$29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Pivots!$X$5:$X$29</c:f>
              <c:numCache>
                <c:formatCode>General</c:formatCode>
                <c:ptCount val="24"/>
                <c:pt idx="0">
                  <c:v>37.4</c:v>
                </c:pt>
                <c:pt idx="1">
                  <c:v>37.39</c:v>
                </c:pt>
                <c:pt idx="2">
                  <c:v>37.07</c:v>
                </c:pt>
                <c:pt idx="3">
                  <c:v>36.700000000000003</c:v>
                </c:pt>
                <c:pt idx="4">
                  <c:v>36.380000000000003</c:v>
                </c:pt>
                <c:pt idx="5">
                  <c:v>36.24</c:v>
                </c:pt>
                <c:pt idx="6">
                  <c:v>36.04</c:v>
                </c:pt>
                <c:pt idx="7">
                  <c:v>36.26</c:v>
                </c:pt>
                <c:pt idx="8">
                  <c:v>36.090000000000003</c:v>
                </c:pt>
                <c:pt idx="9">
                  <c:v>35.56</c:v>
                </c:pt>
                <c:pt idx="10">
                  <c:v>35.56</c:v>
                </c:pt>
                <c:pt idx="11">
                  <c:v>35.299999999999997</c:v>
                </c:pt>
                <c:pt idx="12">
                  <c:v>34.799999999999997</c:v>
                </c:pt>
                <c:pt idx="13">
                  <c:v>34.61</c:v>
                </c:pt>
                <c:pt idx="14">
                  <c:v>34.299999999999997</c:v>
                </c:pt>
                <c:pt idx="15">
                  <c:v>33.799999999999997</c:v>
                </c:pt>
                <c:pt idx="16">
                  <c:v>33.31</c:v>
                </c:pt>
                <c:pt idx="17">
                  <c:v>33.18</c:v>
                </c:pt>
                <c:pt idx="18">
                  <c:v>33.28</c:v>
                </c:pt>
                <c:pt idx="19">
                  <c:v>32.93</c:v>
                </c:pt>
                <c:pt idx="20">
                  <c:v>32.75</c:v>
                </c:pt>
                <c:pt idx="21">
                  <c:v>32.61</c:v>
                </c:pt>
                <c:pt idx="22">
                  <c:v>32.33</c:v>
                </c:pt>
                <c:pt idx="23">
                  <c:v>32.26</c:v>
                </c:pt>
              </c:numCache>
            </c:numRef>
          </c:val>
          <c:smooth val="0"/>
          <c:extLst>
            <c:ext xmlns:c16="http://schemas.microsoft.com/office/drawing/2014/chart" uri="{C3380CC4-5D6E-409C-BE32-E72D297353CC}">
              <c16:uniqueId val="{00000008-6964-440C-98AD-EC076F4ACC2A}"/>
            </c:ext>
          </c:extLst>
        </c:ser>
        <c:ser>
          <c:idx val="2"/>
          <c:order val="2"/>
          <c:tx>
            <c:strRef>
              <c:f>Pivots!$Y$3:$Y$4</c:f>
              <c:strCache>
                <c:ptCount val="1"/>
                <c:pt idx="0">
                  <c:v>Paytm</c:v>
                </c:pt>
              </c:strCache>
            </c:strRef>
          </c:tx>
          <c:spPr>
            <a:ln w="28575" cap="rnd">
              <a:solidFill>
                <a:schemeClr val="accent3"/>
              </a:solidFill>
              <a:round/>
            </a:ln>
            <a:effectLst/>
          </c:spPr>
          <c:marker>
            <c:symbol val="none"/>
          </c:marker>
          <c:cat>
            <c:strRef>
              <c:f>Pivots!$V$5:$V$29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Pivots!$Y$5:$Y$29</c:f>
              <c:numCache>
                <c:formatCode>General</c:formatCode>
                <c:ptCount val="24"/>
                <c:pt idx="0">
                  <c:v>7.08</c:v>
                </c:pt>
                <c:pt idx="1">
                  <c:v>7.02</c:v>
                </c:pt>
                <c:pt idx="2">
                  <c:v>6.94</c:v>
                </c:pt>
                <c:pt idx="3">
                  <c:v>6.88</c:v>
                </c:pt>
                <c:pt idx="4">
                  <c:v>6.78</c:v>
                </c:pt>
                <c:pt idx="5">
                  <c:v>6.7</c:v>
                </c:pt>
                <c:pt idx="6">
                  <c:v>6.67</c:v>
                </c:pt>
                <c:pt idx="7">
                  <c:v>6.76</c:v>
                </c:pt>
                <c:pt idx="8">
                  <c:v>6.84</c:v>
                </c:pt>
                <c:pt idx="9">
                  <c:v>6.9</c:v>
                </c:pt>
                <c:pt idx="10">
                  <c:v>7.02</c:v>
                </c:pt>
                <c:pt idx="11">
                  <c:v>7.03</c:v>
                </c:pt>
                <c:pt idx="12">
                  <c:v>7.1</c:v>
                </c:pt>
                <c:pt idx="13">
                  <c:v>7.24</c:v>
                </c:pt>
                <c:pt idx="14">
                  <c:v>7.42</c:v>
                </c:pt>
                <c:pt idx="15">
                  <c:v>7.51</c:v>
                </c:pt>
                <c:pt idx="16">
                  <c:v>7.65</c:v>
                </c:pt>
                <c:pt idx="17">
                  <c:v>7.82</c:v>
                </c:pt>
                <c:pt idx="18">
                  <c:v>7.82</c:v>
                </c:pt>
                <c:pt idx="19">
                  <c:v>7.96</c:v>
                </c:pt>
                <c:pt idx="20">
                  <c:v>7.91</c:v>
                </c:pt>
                <c:pt idx="21">
                  <c:v>7.92</c:v>
                </c:pt>
                <c:pt idx="22">
                  <c:v>8.0500000000000007</c:v>
                </c:pt>
                <c:pt idx="23">
                  <c:v>8.0299999999999994</c:v>
                </c:pt>
              </c:numCache>
            </c:numRef>
          </c:val>
          <c:smooth val="0"/>
          <c:extLst>
            <c:ext xmlns:c16="http://schemas.microsoft.com/office/drawing/2014/chart" uri="{C3380CC4-5D6E-409C-BE32-E72D297353CC}">
              <c16:uniqueId val="{00000009-6964-440C-98AD-EC076F4ACC2A}"/>
            </c:ext>
          </c:extLst>
        </c:ser>
        <c:ser>
          <c:idx val="3"/>
          <c:order val="3"/>
          <c:tx>
            <c:strRef>
              <c:f>Pivots!$Z$3:$Z$4</c:f>
              <c:strCache>
                <c:ptCount val="1"/>
                <c:pt idx="0">
                  <c:v>PhonePe</c:v>
                </c:pt>
              </c:strCache>
            </c:strRef>
          </c:tx>
          <c:spPr>
            <a:ln w="28575" cap="rnd">
              <a:solidFill>
                <a:schemeClr val="accent4"/>
              </a:solidFill>
              <a:round/>
            </a:ln>
            <a:effectLst/>
          </c:spPr>
          <c:marker>
            <c:symbol val="none"/>
          </c:marker>
          <c:cat>
            <c:strRef>
              <c:f>Pivots!$V$5:$V$29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Pivots!$Z$5:$Z$29</c:f>
              <c:numCache>
                <c:formatCode>General</c:formatCode>
                <c:ptCount val="24"/>
                <c:pt idx="0">
                  <c:v>48.01</c:v>
                </c:pt>
                <c:pt idx="1">
                  <c:v>47.67</c:v>
                </c:pt>
                <c:pt idx="2">
                  <c:v>47.81</c:v>
                </c:pt>
                <c:pt idx="3">
                  <c:v>47.72</c:v>
                </c:pt>
                <c:pt idx="4">
                  <c:v>47.67</c:v>
                </c:pt>
                <c:pt idx="5">
                  <c:v>47.54</c:v>
                </c:pt>
                <c:pt idx="6">
                  <c:v>47.25</c:v>
                </c:pt>
                <c:pt idx="7">
                  <c:v>46.73</c:v>
                </c:pt>
                <c:pt idx="8">
                  <c:v>46.48</c:v>
                </c:pt>
                <c:pt idx="9">
                  <c:v>46.46</c:v>
                </c:pt>
                <c:pt idx="10">
                  <c:v>45.88</c:v>
                </c:pt>
                <c:pt idx="11">
                  <c:v>45.74</c:v>
                </c:pt>
                <c:pt idx="12">
                  <c:v>45.65</c:v>
                </c:pt>
                <c:pt idx="13">
                  <c:v>45.46</c:v>
                </c:pt>
                <c:pt idx="14">
                  <c:v>45.55</c:v>
                </c:pt>
                <c:pt idx="15">
                  <c:v>45.29</c:v>
                </c:pt>
                <c:pt idx="16">
                  <c:v>45.68</c:v>
                </c:pt>
                <c:pt idx="17">
                  <c:v>45.52</c:v>
                </c:pt>
                <c:pt idx="18">
                  <c:v>46.39</c:v>
                </c:pt>
                <c:pt idx="19">
                  <c:v>46.23</c:v>
                </c:pt>
                <c:pt idx="20">
                  <c:v>46.27</c:v>
                </c:pt>
                <c:pt idx="21">
                  <c:v>46.15</c:v>
                </c:pt>
                <c:pt idx="22">
                  <c:v>45.89</c:v>
                </c:pt>
                <c:pt idx="23">
                  <c:v>45.64</c:v>
                </c:pt>
              </c:numCache>
            </c:numRef>
          </c:val>
          <c:smooth val="0"/>
          <c:extLst>
            <c:ext xmlns:c16="http://schemas.microsoft.com/office/drawing/2014/chart" uri="{C3380CC4-5D6E-409C-BE32-E72D297353CC}">
              <c16:uniqueId val="{0000000A-6964-440C-98AD-EC076F4ACC2A}"/>
            </c:ext>
          </c:extLst>
        </c:ser>
        <c:dLbls>
          <c:showLegendKey val="0"/>
          <c:showVal val="0"/>
          <c:showCatName val="0"/>
          <c:showSerName val="0"/>
          <c:showPercent val="0"/>
          <c:showBubbleSize val="0"/>
        </c:dLbls>
        <c:smooth val="0"/>
        <c:axId val="1423899871"/>
        <c:axId val="1433768271"/>
      </c:lineChart>
      <c:catAx>
        <c:axId val="142389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68271"/>
        <c:crosses val="autoZero"/>
        <c:auto val="1"/>
        <c:lblAlgn val="ctr"/>
        <c:lblOffset val="100"/>
        <c:tickLblSkip val="4"/>
        <c:noMultiLvlLbl val="0"/>
      </c:catAx>
      <c:valAx>
        <c:axId val="1433768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Share of UPI volume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89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[upi_analysis-final.xlsx]Pivots!PivotTable3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PhonePe and Google Pay still hold ~78% of UPI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Pivots!$W$35</c:f>
              <c:strCache>
                <c:ptCount val="1"/>
                <c:pt idx="0">
                  <c:v>Total</c:v>
                </c:pt>
              </c:strCache>
            </c:strRef>
          </c:tx>
          <c:spPr>
            <a:solidFill>
              <a:schemeClr val="accent1"/>
            </a:solidFill>
            <a:ln>
              <a:noFill/>
            </a:ln>
            <a:effectLst/>
          </c:spPr>
          <c:invertIfNegative val="0"/>
          <c:cat>
            <c:strRef>
              <c:f>Pivots!$V$36:$V$46</c:f>
              <c:strCache>
                <c:ptCount val="10"/>
                <c:pt idx="0">
                  <c:v>PhonePe</c:v>
                </c:pt>
                <c:pt idx="1">
                  <c:v>Google Pay</c:v>
                </c:pt>
                <c:pt idx="2">
                  <c:v>Paytm</c:v>
                </c:pt>
                <c:pt idx="3">
                  <c:v>Navi</c:v>
                </c:pt>
                <c:pt idx="4">
                  <c:v>super.money</c:v>
                </c:pt>
                <c:pt idx="5">
                  <c:v>BHIM</c:v>
                </c:pt>
                <c:pt idx="6">
                  <c:v>FamApp by Trio</c:v>
                </c:pt>
                <c:pt idx="7">
                  <c:v>WhatsApp</c:v>
                </c:pt>
                <c:pt idx="8">
                  <c:v>Axis Bank Apps</c:v>
                </c:pt>
                <c:pt idx="9">
                  <c:v>CRED</c:v>
                </c:pt>
              </c:strCache>
            </c:strRef>
          </c:cat>
          <c:val>
            <c:numRef>
              <c:f>Pivots!$W$36:$W$46</c:f>
              <c:numCache>
                <c:formatCode>General</c:formatCode>
                <c:ptCount val="10"/>
                <c:pt idx="0">
                  <c:v>45.64</c:v>
                </c:pt>
                <c:pt idx="1">
                  <c:v>32.26</c:v>
                </c:pt>
                <c:pt idx="2">
                  <c:v>8.0299999999999994</c:v>
                </c:pt>
                <c:pt idx="3">
                  <c:v>4.4000000000000004</c:v>
                </c:pt>
                <c:pt idx="4">
                  <c:v>1.72</c:v>
                </c:pt>
                <c:pt idx="5">
                  <c:v>1.04</c:v>
                </c:pt>
                <c:pt idx="6">
                  <c:v>0.91</c:v>
                </c:pt>
                <c:pt idx="7">
                  <c:v>0.75</c:v>
                </c:pt>
                <c:pt idx="8">
                  <c:v>0.6</c:v>
                </c:pt>
                <c:pt idx="9">
                  <c:v>0.59</c:v>
                </c:pt>
              </c:numCache>
            </c:numRef>
          </c:val>
          <c:extLst>
            <c:ext xmlns:c16="http://schemas.microsoft.com/office/drawing/2014/chart" uri="{C3380CC4-5D6E-409C-BE32-E72D297353CC}">
              <c16:uniqueId val="{00000000-72B2-4BAD-85E1-1DBB7942355F}"/>
            </c:ext>
          </c:extLst>
        </c:ser>
        <c:dLbls>
          <c:showLegendKey val="0"/>
          <c:showVal val="0"/>
          <c:showCatName val="0"/>
          <c:showSerName val="0"/>
          <c:showPercent val="0"/>
          <c:showBubbleSize val="0"/>
        </c:dLbls>
        <c:gapWidth val="182"/>
        <c:axId val="1541429503"/>
        <c:axId val="1433741391"/>
      </c:barChart>
      <c:catAx>
        <c:axId val="15414295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41391"/>
        <c:crosses val="autoZero"/>
        <c:auto val="1"/>
        <c:lblAlgn val="ctr"/>
        <c:lblOffset val="100"/>
        <c:tickLblSkip val="1"/>
        <c:noMultiLvlLbl val="0"/>
      </c:catAx>
      <c:valAx>
        <c:axId val="1433741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Share of UPI volume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142950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IN" sz="1100" b="1"/>
              <a:t>Top-2 share fell from 85.4% to 77.9% in 24 months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IN"/>
        </a:p>
      </c:txPr>
    </c:title>
    <c:autoTitleDeleted val="0"/>
    <c:plotArea>
      <c:layout/>
      <c:lineChart>
        <c:grouping val="standard"/>
        <c:varyColors val="0"/>
        <c:ser>
          <c:idx val="0"/>
          <c:order val="0"/>
          <c:tx>
            <c:v>Top-2 share (%)</c:v>
          </c:tx>
          <c:spPr>
            <a:ln w="28575" cap="rnd">
              <a:solidFill>
                <a:schemeClr val="accent1"/>
              </a:solidFill>
              <a:round/>
            </a:ln>
            <a:effectLst/>
          </c:spPr>
          <c:marker>
            <c:symbol val="none"/>
          </c:marker>
          <c:cat>
            <c:numRef>
              <c:f>data_conc!$A$2:$A$25</c:f>
              <c:numCache>
                <c:formatCode>m/d/yyyy</c:formatCode>
                <c:ptCount val="24"/>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pt idx="21">
                  <c:v>46174</c:v>
                </c:pt>
                <c:pt idx="22">
                  <c:v>46204</c:v>
                </c:pt>
                <c:pt idx="23">
                  <c:v>46235</c:v>
                </c:pt>
              </c:numCache>
            </c:numRef>
          </c:cat>
          <c:val>
            <c:numRef>
              <c:f>data_conc!$B$2:$B$25</c:f>
              <c:numCache>
                <c:formatCode>General</c:formatCode>
                <c:ptCount val="24"/>
                <c:pt idx="0">
                  <c:v>85.4</c:v>
                </c:pt>
                <c:pt idx="1">
                  <c:v>85.1</c:v>
                </c:pt>
                <c:pt idx="2">
                  <c:v>84.9</c:v>
                </c:pt>
                <c:pt idx="3">
                  <c:v>84.4</c:v>
                </c:pt>
                <c:pt idx="4">
                  <c:v>84.1</c:v>
                </c:pt>
                <c:pt idx="5">
                  <c:v>83.8</c:v>
                </c:pt>
                <c:pt idx="6">
                  <c:v>83.3</c:v>
                </c:pt>
                <c:pt idx="7">
                  <c:v>83</c:v>
                </c:pt>
                <c:pt idx="8">
                  <c:v>82.6</c:v>
                </c:pt>
                <c:pt idx="9">
                  <c:v>82</c:v>
                </c:pt>
                <c:pt idx="10">
                  <c:v>81.400000000000006</c:v>
                </c:pt>
                <c:pt idx="11">
                  <c:v>81</c:v>
                </c:pt>
                <c:pt idx="12">
                  <c:v>80.400000000000006</c:v>
                </c:pt>
                <c:pt idx="13">
                  <c:v>80.099999999999994</c:v>
                </c:pt>
                <c:pt idx="14">
                  <c:v>79.900000000000006</c:v>
                </c:pt>
                <c:pt idx="15">
                  <c:v>79.099999999999994</c:v>
                </c:pt>
                <c:pt idx="16">
                  <c:v>79</c:v>
                </c:pt>
                <c:pt idx="17">
                  <c:v>78.7</c:v>
                </c:pt>
                <c:pt idx="18">
                  <c:v>79.7</c:v>
                </c:pt>
                <c:pt idx="19">
                  <c:v>79.2</c:v>
                </c:pt>
                <c:pt idx="20">
                  <c:v>79</c:v>
                </c:pt>
                <c:pt idx="21">
                  <c:v>78.8</c:v>
                </c:pt>
                <c:pt idx="22">
                  <c:v>78.2</c:v>
                </c:pt>
                <c:pt idx="23">
                  <c:v>77.900000000000006</c:v>
                </c:pt>
              </c:numCache>
            </c:numRef>
          </c:val>
          <c:smooth val="0"/>
          <c:extLst>
            <c:ext xmlns:c16="http://schemas.microsoft.com/office/drawing/2014/chart" uri="{C3380CC4-5D6E-409C-BE32-E72D297353CC}">
              <c16:uniqueId val="{00000000-F980-4E71-A84D-5427B9585AB1}"/>
            </c:ext>
          </c:extLst>
        </c:ser>
        <c:dLbls>
          <c:showLegendKey val="0"/>
          <c:showVal val="0"/>
          <c:showCatName val="0"/>
          <c:showSerName val="0"/>
          <c:showPercent val="0"/>
          <c:showBubbleSize val="0"/>
        </c:dLbls>
        <c:marker val="1"/>
        <c:smooth val="0"/>
        <c:axId val="1541447599"/>
        <c:axId val="1433790351"/>
      </c:lineChart>
      <c:lineChart>
        <c:grouping val="standard"/>
        <c:varyColors val="0"/>
        <c:ser>
          <c:idx val="1"/>
          <c:order val="1"/>
          <c:tx>
            <c:v>HHI</c:v>
          </c:tx>
          <c:spPr>
            <a:ln w="28575" cap="rnd">
              <a:solidFill>
                <a:schemeClr val="accent2"/>
              </a:solidFill>
              <a:prstDash val="sysDot"/>
              <a:round/>
            </a:ln>
            <a:effectLst/>
          </c:spPr>
          <c:marker>
            <c:symbol val="none"/>
          </c:marker>
          <c:cat>
            <c:numRef>
              <c:f>data_conc!$A$2:$A$25</c:f>
              <c:numCache>
                <c:formatCode>m/d/yyyy</c:formatCode>
                <c:ptCount val="24"/>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pt idx="21">
                  <c:v>46174</c:v>
                </c:pt>
                <c:pt idx="22">
                  <c:v>46204</c:v>
                </c:pt>
                <c:pt idx="23">
                  <c:v>46235</c:v>
                </c:pt>
              </c:numCache>
            </c:numRef>
          </c:cat>
          <c:val>
            <c:numRef>
              <c:f>data_conc!$D$2:$D$25</c:f>
              <c:numCache>
                <c:formatCode>General</c:formatCode>
                <c:ptCount val="24"/>
                <c:pt idx="0">
                  <c:v>3757</c:v>
                </c:pt>
                <c:pt idx="1">
                  <c:v>3723</c:v>
                </c:pt>
                <c:pt idx="2">
                  <c:v>3712</c:v>
                </c:pt>
                <c:pt idx="3">
                  <c:v>3676</c:v>
                </c:pt>
                <c:pt idx="4">
                  <c:v>3647</c:v>
                </c:pt>
                <c:pt idx="5">
                  <c:v>3624</c:v>
                </c:pt>
                <c:pt idx="6">
                  <c:v>3583</c:v>
                </c:pt>
                <c:pt idx="7">
                  <c:v>3552</c:v>
                </c:pt>
                <c:pt idx="8">
                  <c:v>3518</c:v>
                </c:pt>
                <c:pt idx="9">
                  <c:v>3480</c:v>
                </c:pt>
                <c:pt idx="10">
                  <c:v>3428</c:v>
                </c:pt>
                <c:pt idx="11">
                  <c:v>3399</c:v>
                </c:pt>
                <c:pt idx="12">
                  <c:v>3357</c:v>
                </c:pt>
                <c:pt idx="13">
                  <c:v>3329</c:v>
                </c:pt>
                <c:pt idx="14">
                  <c:v>3320</c:v>
                </c:pt>
                <c:pt idx="15">
                  <c:v>3265</c:v>
                </c:pt>
                <c:pt idx="16">
                  <c:v>3270</c:v>
                </c:pt>
                <c:pt idx="17">
                  <c:v>3250</c:v>
                </c:pt>
                <c:pt idx="18">
                  <c:v>3339</c:v>
                </c:pt>
                <c:pt idx="19">
                  <c:v>3304</c:v>
                </c:pt>
                <c:pt idx="20">
                  <c:v>3295</c:v>
                </c:pt>
                <c:pt idx="21">
                  <c:v>3277</c:v>
                </c:pt>
                <c:pt idx="22">
                  <c:v>3240</c:v>
                </c:pt>
                <c:pt idx="23">
                  <c:v>3215</c:v>
                </c:pt>
              </c:numCache>
            </c:numRef>
          </c:val>
          <c:smooth val="0"/>
          <c:extLst>
            <c:ext xmlns:c16="http://schemas.microsoft.com/office/drawing/2014/chart" uri="{C3380CC4-5D6E-409C-BE32-E72D297353CC}">
              <c16:uniqueId val="{00000001-F980-4E71-A84D-5427B9585AB1}"/>
            </c:ext>
          </c:extLst>
        </c:ser>
        <c:dLbls>
          <c:showLegendKey val="0"/>
          <c:showVal val="0"/>
          <c:showCatName val="0"/>
          <c:showSerName val="0"/>
          <c:showPercent val="0"/>
          <c:showBubbleSize val="0"/>
        </c:dLbls>
        <c:marker val="1"/>
        <c:smooth val="0"/>
        <c:axId val="1556265039"/>
        <c:axId val="1433693871"/>
      </c:lineChart>
      <c:catAx>
        <c:axId val="1541447599"/>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90351"/>
        <c:crosses val="autoZero"/>
        <c:auto val="0"/>
        <c:lblAlgn val="ctr"/>
        <c:lblOffset val="100"/>
        <c:tickLblSkip val="3"/>
        <c:noMultiLvlLbl val="0"/>
      </c:catAx>
      <c:valAx>
        <c:axId val="1433790351"/>
        <c:scaling>
          <c:orientation val="minMax"/>
          <c:max val="90"/>
          <c:min val="70"/>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Top-2 share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1447599"/>
        <c:crosses val="autoZero"/>
        <c:crossBetween val="between"/>
      </c:valAx>
      <c:valAx>
        <c:axId val="1433693871"/>
        <c:scaling>
          <c:orientation val="minMax"/>
          <c:max val="3800"/>
          <c:min val="2000"/>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HHI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6265039"/>
        <c:crosses val="max"/>
        <c:crossBetween val="between"/>
      </c:valAx>
      <c:dateAx>
        <c:axId val="1556265039"/>
        <c:scaling>
          <c:orientation val="minMax"/>
        </c:scaling>
        <c:delete val="1"/>
        <c:axPos val="b"/>
        <c:numFmt formatCode="m/d/yyyy" sourceLinked="1"/>
        <c:majorTickMark val="out"/>
        <c:minorTickMark val="none"/>
        <c:tickLblPos val="nextTo"/>
        <c:crossAx val="1433693871"/>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IN" sz="1100" b="1"/>
              <a:t>Average ticket fell from ₹1,838 (FY21) to ₹1,301 (FY26)</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data_fy!$A$3:$A$12</c:f>
              <c:strCache>
                <c:ptCount val="10"/>
                <c:pt idx="0">
                  <c:v>FY18</c:v>
                </c:pt>
                <c:pt idx="1">
                  <c:v>FY19</c:v>
                </c:pt>
                <c:pt idx="2">
                  <c:v>FY20</c:v>
                </c:pt>
                <c:pt idx="3">
                  <c:v>FY21</c:v>
                </c:pt>
                <c:pt idx="4">
                  <c:v>FY22</c:v>
                </c:pt>
                <c:pt idx="5">
                  <c:v>FY23</c:v>
                </c:pt>
                <c:pt idx="6">
                  <c:v>FY24</c:v>
                </c:pt>
                <c:pt idx="7">
                  <c:v>FY25</c:v>
                </c:pt>
                <c:pt idx="8">
                  <c:v>FY26</c:v>
                </c:pt>
                <c:pt idx="9">
                  <c:v>FY27</c:v>
                </c:pt>
              </c:strCache>
            </c:strRef>
          </c:cat>
          <c:val>
            <c:numRef>
              <c:f>data_fy!$F$3:$F$12</c:f>
              <c:numCache>
                <c:formatCode>General</c:formatCode>
                <c:ptCount val="10"/>
                <c:pt idx="0">
                  <c:v>1200</c:v>
                </c:pt>
                <c:pt idx="1">
                  <c:v>1627</c:v>
                </c:pt>
                <c:pt idx="2">
                  <c:v>1703</c:v>
                </c:pt>
                <c:pt idx="3">
                  <c:v>1838</c:v>
                </c:pt>
                <c:pt idx="4">
                  <c:v>1831</c:v>
                </c:pt>
                <c:pt idx="5">
                  <c:v>1662</c:v>
                </c:pt>
                <c:pt idx="6">
                  <c:v>1525</c:v>
                </c:pt>
                <c:pt idx="7">
                  <c:v>1402</c:v>
                </c:pt>
                <c:pt idx="8">
                  <c:v>1301</c:v>
                </c:pt>
                <c:pt idx="9">
                  <c:v>1259</c:v>
                </c:pt>
              </c:numCache>
            </c:numRef>
          </c:val>
          <c:extLst>
            <c:ext xmlns:c16="http://schemas.microsoft.com/office/drawing/2014/chart" uri="{C3380CC4-5D6E-409C-BE32-E72D297353CC}">
              <c16:uniqueId val="{00000000-A3A0-423B-80C1-9CF7237630AE}"/>
            </c:ext>
          </c:extLst>
        </c:ser>
        <c:dLbls>
          <c:showLegendKey val="0"/>
          <c:showVal val="0"/>
          <c:showCatName val="0"/>
          <c:showSerName val="0"/>
          <c:showPercent val="0"/>
          <c:showBubbleSize val="0"/>
        </c:dLbls>
        <c:gapWidth val="219"/>
        <c:overlap val="-27"/>
        <c:axId val="1441572943"/>
        <c:axId val="1433775471"/>
      </c:barChart>
      <c:catAx>
        <c:axId val="1441572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Fiscal year (FY27 = Apr–Sep 2026 only)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75471"/>
        <c:crosses val="autoZero"/>
        <c:auto val="1"/>
        <c:lblAlgn val="ctr"/>
        <c:lblOffset val="100"/>
        <c:noMultiLvlLbl val="0"/>
      </c:catAx>
      <c:valAx>
        <c:axId val="1433775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Avg ticket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1572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[upi_analysis-final.xlsx]Pivots!PivotTable4</c:name>
    <c:fmtId val="4"/>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IN" sz="1100" b="1"/>
              <a:t>P2M is ~63% of UPI transactions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Pivots!$AO$3:$AO$4</c:f>
              <c:strCache>
                <c:ptCount val="1"/>
                <c:pt idx="0">
                  <c:v>P2M</c:v>
                </c:pt>
              </c:strCache>
            </c:strRef>
          </c:tx>
          <c:spPr>
            <a:solidFill>
              <a:schemeClr val="accent1"/>
            </a:solidFill>
            <a:ln>
              <a:noFill/>
            </a:ln>
            <a:effectLst/>
          </c:spPr>
          <c:invertIfNegative val="0"/>
          <c:cat>
            <c:strRef>
              <c:f>Pivots!$AN$5:$AN$29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Pivots!$AO$5:$AO$29</c:f>
              <c:numCache>
                <c:formatCode>General</c:formatCode>
                <c:ptCount val="24"/>
                <c:pt idx="0">
                  <c:v>62.2</c:v>
                </c:pt>
                <c:pt idx="1">
                  <c:v>62.1</c:v>
                </c:pt>
                <c:pt idx="2">
                  <c:v>62.3</c:v>
                </c:pt>
                <c:pt idx="3">
                  <c:v>62.1</c:v>
                </c:pt>
                <c:pt idx="4">
                  <c:v>62.2</c:v>
                </c:pt>
                <c:pt idx="5">
                  <c:v>62.5</c:v>
                </c:pt>
                <c:pt idx="6">
                  <c:v>62.6</c:v>
                </c:pt>
                <c:pt idx="7">
                  <c:v>63.5</c:v>
                </c:pt>
                <c:pt idx="8">
                  <c:v>63.5</c:v>
                </c:pt>
                <c:pt idx="9">
                  <c:v>63.7</c:v>
                </c:pt>
                <c:pt idx="10">
                  <c:v>63.6</c:v>
                </c:pt>
                <c:pt idx="11">
                  <c:v>63.5</c:v>
                </c:pt>
                <c:pt idx="12">
                  <c:v>63</c:v>
                </c:pt>
                <c:pt idx="13">
                  <c:v>62.9</c:v>
                </c:pt>
                <c:pt idx="14">
                  <c:v>62.7</c:v>
                </c:pt>
                <c:pt idx="15">
                  <c:v>62.3</c:v>
                </c:pt>
                <c:pt idx="16">
                  <c:v>62.7</c:v>
                </c:pt>
                <c:pt idx="17">
                  <c:v>62.7</c:v>
                </c:pt>
                <c:pt idx="18">
                  <c:v>62.6</c:v>
                </c:pt>
                <c:pt idx="19">
                  <c:v>63.1</c:v>
                </c:pt>
                <c:pt idx="20">
                  <c:v>63.4</c:v>
                </c:pt>
                <c:pt idx="21">
                  <c:v>63.5</c:v>
                </c:pt>
                <c:pt idx="22">
                  <c:v>63.3</c:v>
                </c:pt>
                <c:pt idx="23">
                  <c:v>63.3</c:v>
                </c:pt>
              </c:numCache>
            </c:numRef>
          </c:val>
          <c:extLst>
            <c:ext xmlns:c16="http://schemas.microsoft.com/office/drawing/2014/chart" uri="{C3380CC4-5D6E-409C-BE32-E72D297353CC}">
              <c16:uniqueId val="{00000000-158B-4500-96CB-D8EB53B85CFC}"/>
            </c:ext>
          </c:extLst>
        </c:ser>
        <c:ser>
          <c:idx val="1"/>
          <c:order val="1"/>
          <c:tx>
            <c:strRef>
              <c:f>Pivots!$AP$3:$AP$4</c:f>
              <c:strCache>
                <c:ptCount val="1"/>
                <c:pt idx="0">
                  <c:v>P2P</c:v>
                </c:pt>
              </c:strCache>
            </c:strRef>
          </c:tx>
          <c:spPr>
            <a:solidFill>
              <a:schemeClr val="bg2">
                <a:lumMod val="75000"/>
              </a:schemeClr>
            </a:solidFill>
            <a:ln>
              <a:noFill/>
            </a:ln>
            <a:effectLst/>
          </c:spPr>
          <c:invertIfNegative val="0"/>
          <c:cat>
            <c:strRef>
              <c:f>Pivots!$AN$5:$AN$29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Pivots!$AP$5:$AP$29</c:f>
              <c:numCache>
                <c:formatCode>General</c:formatCode>
                <c:ptCount val="24"/>
                <c:pt idx="0">
                  <c:v>37.799999999999997</c:v>
                </c:pt>
                <c:pt idx="1">
                  <c:v>37.9</c:v>
                </c:pt>
                <c:pt idx="2">
                  <c:v>37.700000000000003</c:v>
                </c:pt>
                <c:pt idx="3">
                  <c:v>37.9</c:v>
                </c:pt>
                <c:pt idx="4">
                  <c:v>37.799999999999997</c:v>
                </c:pt>
                <c:pt idx="5">
                  <c:v>37.5</c:v>
                </c:pt>
                <c:pt idx="6">
                  <c:v>37.4</c:v>
                </c:pt>
                <c:pt idx="7">
                  <c:v>36.5</c:v>
                </c:pt>
                <c:pt idx="8">
                  <c:v>36.5</c:v>
                </c:pt>
                <c:pt idx="9">
                  <c:v>36.299999999999997</c:v>
                </c:pt>
                <c:pt idx="10">
                  <c:v>36.4</c:v>
                </c:pt>
                <c:pt idx="11">
                  <c:v>36.5</c:v>
                </c:pt>
                <c:pt idx="12">
                  <c:v>37</c:v>
                </c:pt>
                <c:pt idx="13">
                  <c:v>37.1</c:v>
                </c:pt>
                <c:pt idx="14">
                  <c:v>37.299999999999997</c:v>
                </c:pt>
                <c:pt idx="15">
                  <c:v>37.700000000000003</c:v>
                </c:pt>
                <c:pt idx="16">
                  <c:v>37.299999999999997</c:v>
                </c:pt>
                <c:pt idx="17">
                  <c:v>37.299999999999997</c:v>
                </c:pt>
                <c:pt idx="18">
                  <c:v>37.4</c:v>
                </c:pt>
                <c:pt idx="19">
                  <c:v>36.9</c:v>
                </c:pt>
                <c:pt idx="20">
                  <c:v>36.6</c:v>
                </c:pt>
                <c:pt idx="21">
                  <c:v>36.5</c:v>
                </c:pt>
                <c:pt idx="22">
                  <c:v>36.700000000000003</c:v>
                </c:pt>
                <c:pt idx="23">
                  <c:v>36.700000000000003</c:v>
                </c:pt>
              </c:numCache>
            </c:numRef>
          </c:val>
          <c:extLst>
            <c:ext xmlns:c16="http://schemas.microsoft.com/office/drawing/2014/chart" uri="{C3380CC4-5D6E-409C-BE32-E72D297353CC}">
              <c16:uniqueId val="{00000001-158B-4500-96CB-D8EB53B85CFC}"/>
            </c:ext>
          </c:extLst>
        </c:ser>
        <c:dLbls>
          <c:showLegendKey val="0"/>
          <c:showVal val="0"/>
          <c:showCatName val="0"/>
          <c:showSerName val="0"/>
          <c:showPercent val="0"/>
          <c:showBubbleSize val="0"/>
        </c:dLbls>
        <c:gapWidth val="150"/>
        <c:overlap val="100"/>
        <c:axId val="1541419759"/>
        <c:axId val="1433797551"/>
      </c:barChart>
      <c:catAx>
        <c:axId val="154141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97551"/>
        <c:crosses val="autoZero"/>
        <c:auto val="1"/>
        <c:lblAlgn val="ctr"/>
        <c:lblOffset val="100"/>
        <c:tickLblSkip val="4"/>
        <c:noMultiLvlLbl val="0"/>
      </c:catAx>
      <c:valAx>
        <c:axId val="143379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Share of transactions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1419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[upi_analysis-final.xlsx]Pivots!PivotTable5</c:name>
    <c:fmtId val="4"/>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IN" sz="1100" b="1"/>
              <a:t>P2M is only ~30% of UPI value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Pivots!$BB$3:$BB$4</c:f>
              <c:strCache>
                <c:ptCount val="1"/>
                <c:pt idx="0">
                  <c:v>P2M</c:v>
                </c:pt>
              </c:strCache>
            </c:strRef>
          </c:tx>
          <c:spPr>
            <a:solidFill>
              <a:schemeClr val="accent1"/>
            </a:solidFill>
            <a:ln>
              <a:noFill/>
            </a:ln>
            <a:effectLst/>
          </c:spPr>
          <c:invertIfNegative val="0"/>
          <c:cat>
            <c:strRef>
              <c:f>Pivots!$BA$5:$BA$29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Pivots!$BB$5:$BB$29</c:f>
              <c:numCache>
                <c:formatCode>General</c:formatCode>
                <c:ptCount val="24"/>
                <c:pt idx="0">
                  <c:v>27.4</c:v>
                </c:pt>
                <c:pt idx="1">
                  <c:v>28.4</c:v>
                </c:pt>
                <c:pt idx="2">
                  <c:v>27.8</c:v>
                </c:pt>
                <c:pt idx="3">
                  <c:v>27.2</c:v>
                </c:pt>
                <c:pt idx="4">
                  <c:v>27.5</c:v>
                </c:pt>
                <c:pt idx="5">
                  <c:v>26.9</c:v>
                </c:pt>
                <c:pt idx="6">
                  <c:v>27.1</c:v>
                </c:pt>
                <c:pt idx="7">
                  <c:v>27.7</c:v>
                </c:pt>
                <c:pt idx="8">
                  <c:v>27.7</c:v>
                </c:pt>
                <c:pt idx="9">
                  <c:v>28.4</c:v>
                </c:pt>
                <c:pt idx="10">
                  <c:v>29.3</c:v>
                </c:pt>
                <c:pt idx="11">
                  <c:v>29.1</c:v>
                </c:pt>
                <c:pt idx="12">
                  <c:v>28.9</c:v>
                </c:pt>
                <c:pt idx="13">
                  <c:v>30.3</c:v>
                </c:pt>
                <c:pt idx="14">
                  <c:v>29.1</c:v>
                </c:pt>
                <c:pt idx="15">
                  <c:v>28.9</c:v>
                </c:pt>
                <c:pt idx="16">
                  <c:v>29.7</c:v>
                </c:pt>
                <c:pt idx="17">
                  <c:v>28.8</c:v>
                </c:pt>
                <c:pt idx="18">
                  <c:v>29.2</c:v>
                </c:pt>
                <c:pt idx="19">
                  <c:v>29.3</c:v>
                </c:pt>
                <c:pt idx="20">
                  <c:v>29.2</c:v>
                </c:pt>
                <c:pt idx="21">
                  <c:v>29.8</c:v>
                </c:pt>
                <c:pt idx="22">
                  <c:v>30.3</c:v>
                </c:pt>
                <c:pt idx="23">
                  <c:v>30</c:v>
                </c:pt>
              </c:numCache>
            </c:numRef>
          </c:val>
          <c:extLst>
            <c:ext xmlns:c16="http://schemas.microsoft.com/office/drawing/2014/chart" uri="{C3380CC4-5D6E-409C-BE32-E72D297353CC}">
              <c16:uniqueId val="{00000000-2604-48A8-85D4-79CD0A477BF4}"/>
            </c:ext>
          </c:extLst>
        </c:ser>
        <c:ser>
          <c:idx val="1"/>
          <c:order val="1"/>
          <c:tx>
            <c:strRef>
              <c:f>Pivots!$BC$3:$BC$4</c:f>
              <c:strCache>
                <c:ptCount val="1"/>
                <c:pt idx="0">
                  <c:v>P2P</c:v>
                </c:pt>
              </c:strCache>
            </c:strRef>
          </c:tx>
          <c:spPr>
            <a:solidFill>
              <a:schemeClr val="bg2">
                <a:lumMod val="75000"/>
              </a:schemeClr>
            </a:solidFill>
            <a:ln>
              <a:noFill/>
            </a:ln>
            <a:effectLst/>
          </c:spPr>
          <c:invertIfNegative val="0"/>
          <c:cat>
            <c:strRef>
              <c:f>Pivots!$BA$5:$BA$29</c:f>
              <c:strCache>
                <c:ptCount val="24"/>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pt idx="13">
                  <c:v>Oct-25</c:v>
                </c:pt>
                <c:pt idx="14">
                  <c:v>Nov-25</c:v>
                </c:pt>
                <c:pt idx="15">
                  <c:v>Dec-25</c:v>
                </c:pt>
                <c:pt idx="16">
                  <c:v>Jan-26</c:v>
                </c:pt>
                <c:pt idx="17">
                  <c:v>Feb-26</c:v>
                </c:pt>
                <c:pt idx="18">
                  <c:v>Mar-26</c:v>
                </c:pt>
                <c:pt idx="19">
                  <c:v>Apr-26</c:v>
                </c:pt>
                <c:pt idx="20">
                  <c:v>May-26</c:v>
                </c:pt>
                <c:pt idx="21">
                  <c:v>Jun-26</c:v>
                </c:pt>
                <c:pt idx="22">
                  <c:v>Jul-26</c:v>
                </c:pt>
                <c:pt idx="23">
                  <c:v>Aug-26</c:v>
                </c:pt>
              </c:strCache>
            </c:strRef>
          </c:cat>
          <c:val>
            <c:numRef>
              <c:f>Pivots!$BC$5:$BC$29</c:f>
              <c:numCache>
                <c:formatCode>General</c:formatCode>
                <c:ptCount val="24"/>
                <c:pt idx="0">
                  <c:v>72.599999999999994</c:v>
                </c:pt>
                <c:pt idx="1">
                  <c:v>71.599999999999994</c:v>
                </c:pt>
                <c:pt idx="2">
                  <c:v>72.2</c:v>
                </c:pt>
                <c:pt idx="3">
                  <c:v>72.8</c:v>
                </c:pt>
                <c:pt idx="4">
                  <c:v>72.5</c:v>
                </c:pt>
                <c:pt idx="5">
                  <c:v>73.099999999999994</c:v>
                </c:pt>
                <c:pt idx="6">
                  <c:v>72.900000000000006</c:v>
                </c:pt>
                <c:pt idx="7">
                  <c:v>72.3</c:v>
                </c:pt>
                <c:pt idx="8">
                  <c:v>72.3</c:v>
                </c:pt>
                <c:pt idx="9">
                  <c:v>71.599999999999994</c:v>
                </c:pt>
                <c:pt idx="10">
                  <c:v>70.7</c:v>
                </c:pt>
                <c:pt idx="11">
                  <c:v>70.900000000000006</c:v>
                </c:pt>
                <c:pt idx="12">
                  <c:v>71.099999999999994</c:v>
                </c:pt>
                <c:pt idx="13">
                  <c:v>69.7</c:v>
                </c:pt>
                <c:pt idx="14">
                  <c:v>70.900000000000006</c:v>
                </c:pt>
                <c:pt idx="15">
                  <c:v>71.099999999999994</c:v>
                </c:pt>
                <c:pt idx="16">
                  <c:v>70.3</c:v>
                </c:pt>
                <c:pt idx="17">
                  <c:v>71.2</c:v>
                </c:pt>
                <c:pt idx="18">
                  <c:v>70.8</c:v>
                </c:pt>
                <c:pt idx="19">
                  <c:v>70.7</c:v>
                </c:pt>
                <c:pt idx="20">
                  <c:v>70.8</c:v>
                </c:pt>
                <c:pt idx="21">
                  <c:v>70.2</c:v>
                </c:pt>
                <c:pt idx="22">
                  <c:v>69.7</c:v>
                </c:pt>
                <c:pt idx="23">
                  <c:v>70</c:v>
                </c:pt>
              </c:numCache>
            </c:numRef>
          </c:val>
          <c:extLst>
            <c:ext xmlns:c16="http://schemas.microsoft.com/office/drawing/2014/chart" uri="{C3380CC4-5D6E-409C-BE32-E72D297353CC}">
              <c16:uniqueId val="{00000001-2604-48A8-85D4-79CD0A477BF4}"/>
            </c:ext>
          </c:extLst>
        </c:ser>
        <c:dLbls>
          <c:showLegendKey val="0"/>
          <c:showVal val="0"/>
          <c:showCatName val="0"/>
          <c:showSerName val="0"/>
          <c:showPercent val="0"/>
          <c:showBubbleSize val="0"/>
        </c:dLbls>
        <c:gapWidth val="150"/>
        <c:overlap val="100"/>
        <c:axId val="1541462447"/>
        <c:axId val="1433692911"/>
      </c:barChart>
      <c:catAx>
        <c:axId val="154146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692911"/>
        <c:crosses val="autoZero"/>
        <c:auto val="1"/>
        <c:lblAlgn val="ctr"/>
        <c:lblOffset val="100"/>
        <c:tickLblSkip val="4"/>
        <c:noMultiLvlLbl val="0"/>
      </c:catAx>
      <c:valAx>
        <c:axId val="1433692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Share of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1462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October's festive spike is followed by a weak November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data_season!$C$1</c:f>
              <c:strCache>
                <c:ptCount val="1"/>
                <c:pt idx="0">
                  <c:v>avg_mom_per_day_pct</c:v>
                </c:pt>
              </c:strCache>
            </c:strRef>
          </c:tx>
          <c:spPr>
            <a:solidFill>
              <a:schemeClr val="accent1"/>
            </a:solidFill>
            <a:ln>
              <a:noFill/>
            </a:ln>
            <a:effectLst/>
          </c:spPr>
          <c:invertIfNegative val="0"/>
          <c:dPt>
            <c:idx val="9"/>
            <c:invertIfNegative val="0"/>
            <c:bubble3D val="0"/>
            <c:spPr>
              <a:solidFill>
                <a:schemeClr val="accent2"/>
              </a:solidFill>
              <a:ln>
                <a:noFill/>
              </a:ln>
              <a:effectLst/>
            </c:spPr>
            <c:extLst>
              <c:ext xmlns:c16="http://schemas.microsoft.com/office/drawing/2014/chart" uri="{C3380CC4-5D6E-409C-BE32-E72D297353CC}">
                <c16:uniqueId val="{00000001-09E3-4E26-A8B5-E4F657CDD44A}"/>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3-09E3-4E26-A8B5-E4F657CDD44A}"/>
              </c:ext>
            </c:extLst>
          </c:dPt>
          <c:dLbls>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data_season!$B$2:$B$13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data_season!$C$2:$C$13</c:f>
              <c:numCache>
                <c:formatCode>General</c:formatCode>
                <c:ptCount val="12"/>
                <c:pt idx="0">
                  <c:v>1.7</c:v>
                </c:pt>
                <c:pt idx="1">
                  <c:v>6.3</c:v>
                </c:pt>
                <c:pt idx="2">
                  <c:v>4.4000000000000004</c:v>
                </c:pt>
                <c:pt idx="3">
                  <c:v>2.9</c:v>
                </c:pt>
                <c:pt idx="4">
                  <c:v>0.4</c:v>
                </c:pt>
                <c:pt idx="5">
                  <c:v>3.9</c:v>
                </c:pt>
                <c:pt idx="6">
                  <c:v>3.8</c:v>
                </c:pt>
                <c:pt idx="7">
                  <c:v>5.0999999999999996</c:v>
                </c:pt>
                <c:pt idx="8">
                  <c:v>3.7</c:v>
                </c:pt>
                <c:pt idx="9">
                  <c:v>5.9</c:v>
                </c:pt>
                <c:pt idx="10">
                  <c:v>1.3</c:v>
                </c:pt>
                <c:pt idx="11">
                  <c:v>3.9</c:v>
                </c:pt>
              </c:numCache>
            </c:numRef>
          </c:val>
          <c:extLst>
            <c:ext xmlns:c16="http://schemas.microsoft.com/office/drawing/2014/chart" uri="{C3380CC4-5D6E-409C-BE32-E72D297353CC}">
              <c16:uniqueId val="{00000004-09E3-4E26-A8B5-E4F657CDD44A}"/>
            </c:ext>
          </c:extLst>
        </c:ser>
        <c:dLbls>
          <c:dLblPos val="outEnd"/>
          <c:showLegendKey val="0"/>
          <c:showVal val="1"/>
          <c:showCatName val="0"/>
          <c:showSerName val="0"/>
          <c:showPercent val="0"/>
          <c:showBubbleSize val="0"/>
        </c:dLbls>
        <c:gapWidth val="219"/>
        <c:overlap val="-27"/>
        <c:axId val="1612574831"/>
        <c:axId val="1433718351"/>
      </c:barChart>
      <c:catAx>
        <c:axId val="161257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Month (volume per day, 2021 onwards)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718351"/>
        <c:crosses val="autoZero"/>
        <c:auto val="1"/>
        <c:lblAlgn val="ctr"/>
        <c:lblOffset val="100"/>
        <c:noMultiLvlLbl val="0"/>
      </c:catAx>
      <c:valAx>
        <c:axId val="1433718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Avg MoM growth per day (%)</a:t>
                </a:r>
              </a:p>
            </c:rich>
          </c:tx>
          <c:layout>
            <c:manualLayout>
              <c:xMode val="edge"/>
              <c:yMode val="edge"/>
              <c:x val="1.4888845144356955E-2"/>
              <c:y val="0.160484406360969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257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51</xdr:col>
      <xdr:colOff>0</xdr:colOff>
      <xdr:row>34</xdr:row>
      <xdr:rowOff>0</xdr:rowOff>
    </xdr:to>
    <xdr:graphicFrame macro="">
      <xdr:nvGraphicFramePr>
        <xdr:cNvPr id="13" name="Chart 12">
          <a:extLst>
            <a:ext uri="{FF2B5EF4-FFF2-40B4-BE49-F238E27FC236}">
              <a16:creationId xmlns:a16="http://schemas.microsoft.com/office/drawing/2014/main" id="{5035A127-7B2E-4AEB-8383-553E02678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0</xdr:colOff>
      <xdr:row>19</xdr:row>
      <xdr:rowOff>0</xdr:rowOff>
    </xdr:from>
    <xdr:to>
      <xdr:col>77</xdr:col>
      <xdr:colOff>0</xdr:colOff>
      <xdr:row>41</xdr:row>
      <xdr:rowOff>0</xdr:rowOff>
    </xdr:to>
    <xdr:graphicFrame macro="">
      <xdr:nvGraphicFramePr>
        <xdr:cNvPr id="14" name="Chart 13">
          <a:extLst>
            <a:ext uri="{FF2B5EF4-FFF2-40B4-BE49-F238E27FC236}">
              <a16:creationId xmlns:a16="http://schemas.microsoft.com/office/drawing/2014/main" id="{4FD3E6ED-16A5-436D-92B6-EE0D371B0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35</xdr:row>
      <xdr:rowOff>0</xdr:rowOff>
    </xdr:from>
    <xdr:to>
      <xdr:col>51</xdr:col>
      <xdr:colOff>0</xdr:colOff>
      <xdr:row>41</xdr:row>
      <xdr:rowOff>0</xdr:rowOff>
    </xdr:to>
    <mc:AlternateContent xmlns:mc="http://schemas.openxmlformats.org/markup-compatibility/2006" xmlns:tsle="http://schemas.microsoft.com/office/drawing/2012/timeslicer">
      <mc:Choice Requires="tsle">
        <xdr:graphicFrame macro="">
          <xdr:nvGraphicFramePr>
            <xdr:cNvPr id="15" name="month_date">
              <a:extLst>
                <a:ext uri="{FF2B5EF4-FFF2-40B4-BE49-F238E27FC236}">
                  <a16:creationId xmlns:a16="http://schemas.microsoft.com/office/drawing/2014/main" id="{62389F83-9247-4775-90EC-A8A966993C95}"/>
                </a:ext>
              </a:extLst>
            </xdr:cNvPr>
            <xdr:cNvGraphicFramePr/>
          </xdr:nvGraphicFramePr>
          <xdr:xfrm>
            <a:off x="0" y="0"/>
            <a:ext cx="0" cy="0"/>
          </xdr:xfrm>
          <a:graphic>
            <a:graphicData uri="http://schemas.microsoft.com/office/drawing/2012/timeslicer">
              <tsle:timeslicer name="month_date"/>
            </a:graphicData>
          </a:graphic>
        </xdr:graphicFrame>
      </mc:Choice>
      <mc:Fallback xmlns="">
        <xdr:sp macro="" textlink="">
          <xdr:nvSpPr>
            <xdr:cNvPr id="0" name=""/>
            <xdr:cNvSpPr>
              <a:spLocks noTextEdit="1"/>
            </xdr:cNvSpPr>
          </xdr:nvSpPr>
          <xdr:spPr>
            <a:xfrm>
              <a:off x="152400" y="6229350"/>
              <a:ext cx="7620000" cy="914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0</xdr:colOff>
      <xdr:row>62</xdr:row>
      <xdr:rowOff>0</xdr:rowOff>
    </xdr:from>
    <xdr:to>
      <xdr:col>14</xdr:col>
      <xdr:colOff>0</xdr:colOff>
      <xdr:row>80</xdr:row>
      <xdr:rowOff>0</xdr:rowOff>
    </xdr:to>
    <mc:AlternateContent xmlns:mc="http://schemas.openxmlformats.org/markup-compatibility/2006" xmlns:a14="http://schemas.microsoft.com/office/drawing/2010/main">
      <mc:Choice Requires="a14">
        <xdr:graphicFrame macro="">
          <xdr:nvGraphicFramePr>
            <xdr:cNvPr id="16" name="app_name">
              <a:extLst>
                <a:ext uri="{FF2B5EF4-FFF2-40B4-BE49-F238E27FC236}">
                  <a16:creationId xmlns:a16="http://schemas.microsoft.com/office/drawing/2014/main" id="{423261B1-A329-4029-B54D-FA1DAD2269AD}"/>
                </a:ext>
              </a:extLst>
            </xdr:cNvPr>
            <xdr:cNvGraphicFramePr/>
          </xdr:nvGraphicFramePr>
          <xdr:xfrm>
            <a:off x="0" y="0"/>
            <a:ext cx="0" cy="0"/>
          </xdr:xfrm>
          <a:graphic>
            <a:graphicData uri="http://schemas.microsoft.com/office/drawing/2010/slicer">
              <sle:slicer xmlns:sle="http://schemas.microsoft.com/office/drawing/2010/slicer" name="app_name"/>
            </a:graphicData>
          </a:graphic>
        </xdr:graphicFrame>
      </mc:Choice>
      <mc:Fallback xmlns="">
        <xdr:sp macro="" textlink="">
          <xdr:nvSpPr>
            <xdr:cNvPr id="0" name=""/>
            <xdr:cNvSpPr>
              <a:spLocks noTextEdit="1"/>
            </xdr:cNvSpPr>
          </xdr:nvSpPr>
          <xdr:spPr>
            <a:xfrm>
              <a:off x="152400" y="10382250"/>
              <a:ext cx="19812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62</xdr:row>
      <xdr:rowOff>0</xdr:rowOff>
    </xdr:from>
    <xdr:to>
      <xdr:col>51</xdr:col>
      <xdr:colOff>0</xdr:colOff>
      <xdr:row>80</xdr:row>
      <xdr:rowOff>0</xdr:rowOff>
    </xdr:to>
    <xdr:graphicFrame macro="">
      <xdr:nvGraphicFramePr>
        <xdr:cNvPr id="17" name="Chart 16">
          <a:extLst>
            <a:ext uri="{FF2B5EF4-FFF2-40B4-BE49-F238E27FC236}">
              <a16:creationId xmlns:a16="http://schemas.microsoft.com/office/drawing/2014/main" id="{F6EC693D-C6E9-4381-BDAC-E8565EAEE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0</xdr:colOff>
      <xdr:row>62</xdr:row>
      <xdr:rowOff>0</xdr:rowOff>
    </xdr:from>
    <xdr:to>
      <xdr:col>77</xdr:col>
      <xdr:colOff>0</xdr:colOff>
      <xdr:row>80</xdr:row>
      <xdr:rowOff>0</xdr:rowOff>
    </xdr:to>
    <xdr:graphicFrame macro="">
      <xdr:nvGraphicFramePr>
        <xdr:cNvPr id="18" name="Chart 17">
          <a:extLst>
            <a:ext uri="{FF2B5EF4-FFF2-40B4-BE49-F238E27FC236}">
              <a16:creationId xmlns:a16="http://schemas.microsoft.com/office/drawing/2014/main" id="{B8D8B20F-397B-4079-B111-BFE15B0E0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81</xdr:row>
      <xdr:rowOff>0</xdr:rowOff>
    </xdr:from>
    <xdr:to>
      <xdr:col>77</xdr:col>
      <xdr:colOff>0</xdr:colOff>
      <xdr:row>98</xdr:row>
      <xdr:rowOff>0</xdr:rowOff>
    </xdr:to>
    <xdr:graphicFrame macro="">
      <xdr:nvGraphicFramePr>
        <xdr:cNvPr id="19" name="Chart 18">
          <a:extLst>
            <a:ext uri="{FF2B5EF4-FFF2-40B4-BE49-F238E27FC236}">
              <a16:creationId xmlns:a16="http://schemas.microsoft.com/office/drawing/2014/main" id="{D1F10239-3F2B-45CD-A03F-931BD6297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0</xdr:colOff>
      <xdr:row>42</xdr:row>
      <xdr:rowOff>0</xdr:rowOff>
    </xdr:from>
    <xdr:to>
      <xdr:col>77</xdr:col>
      <xdr:colOff>0</xdr:colOff>
      <xdr:row>59</xdr:row>
      <xdr:rowOff>0</xdr:rowOff>
    </xdr:to>
    <xdr:graphicFrame macro="">
      <xdr:nvGraphicFramePr>
        <xdr:cNvPr id="20" name="Chart 19">
          <a:extLst>
            <a:ext uri="{FF2B5EF4-FFF2-40B4-BE49-F238E27FC236}">
              <a16:creationId xmlns:a16="http://schemas.microsoft.com/office/drawing/2014/main" id="{239BD696-91F9-408B-A100-5F17B61BA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101</xdr:row>
      <xdr:rowOff>0</xdr:rowOff>
    </xdr:from>
    <xdr:to>
      <xdr:col>39</xdr:col>
      <xdr:colOff>0</xdr:colOff>
      <xdr:row>118</xdr:row>
      <xdr:rowOff>0</xdr:rowOff>
    </xdr:to>
    <xdr:graphicFrame macro="">
      <xdr:nvGraphicFramePr>
        <xdr:cNvPr id="21" name="Chart 20">
          <a:extLst>
            <a:ext uri="{FF2B5EF4-FFF2-40B4-BE49-F238E27FC236}">
              <a16:creationId xmlns:a16="http://schemas.microsoft.com/office/drawing/2014/main" id="{C9C7F82B-7A3A-4E52-B708-41FD51EBE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0</xdr:colOff>
      <xdr:row>101</xdr:row>
      <xdr:rowOff>0</xdr:rowOff>
    </xdr:from>
    <xdr:to>
      <xdr:col>77</xdr:col>
      <xdr:colOff>0</xdr:colOff>
      <xdr:row>118</xdr:row>
      <xdr:rowOff>0</xdr:rowOff>
    </xdr:to>
    <xdr:graphicFrame macro="">
      <xdr:nvGraphicFramePr>
        <xdr:cNvPr id="22" name="Chart 21">
          <a:extLst>
            <a:ext uri="{FF2B5EF4-FFF2-40B4-BE49-F238E27FC236}">
              <a16:creationId xmlns:a16="http://schemas.microsoft.com/office/drawing/2014/main" id="{58D214E4-0F98-4707-8C4E-B23EA9EC9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42</xdr:row>
      <xdr:rowOff>0</xdr:rowOff>
    </xdr:from>
    <xdr:to>
      <xdr:col>51</xdr:col>
      <xdr:colOff>0</xdr:colOff>
      <xdr:row>59</xdr:row>
      <xdr:rowOff>0</xdr:rowOff>
    </xdr:to>
    <xdr:graphicFrame macro="">
      <xdr:nvGraphicFramePr>
        <xdr:cNvPr id="23" name="Chart 22">
          <a:extLst>
            <a:ext uri="{FF2B5EF4-FFF2-40B4-BE49-F238E27FC236}">
              <a16:creationId xmlns:a16="http://schemas.microsoft.com/office/drawing/2014/main" id="{AFD03959-80AF-4CCB-BAD1-C74DCC908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ustus 7908" refreshedDate="46303.569951851852" createdVersion="8" refreshedVersion="8" minRefreshableVersion="3" recordCount="48" xr:uid="{F4470AE1-6997-4B02-B009-89AF2F553409}">
  <cacheSource type="worksheet">
    <worksheetSource name="tbl_mix"/>
  </cacheSource>
  <cacheFields count="7">
    <cacheField name="month_date" numFmtId="14">
      <sharedItems containsSemiMixedTypes="0" containsNonDate="0" containsDate="1" containsString="0" minDate="2024-09-01T00:00:00" maxDate="2026-08-02T00:00:00" count="24">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txn_type" numFmtId="0">
      <sharedItems count="2">
        <s v="P2P"/>
        <s v="P2M"/>
      </sharedItems>
    </cacheField>
    <cacheField name="volume_mn" numFmtId="0">
      <sharedItems containsSemiMixedTypes="0" containsString="0" containsNumber="1" minValue="5688.87" maxValue="15510.01"/>
    </cacheField>
    <cacheField name="value_cr" numFmtId="0">
      <sharedItems containsSemiMixedTypes="0" containsString="0" containsNumber="1" minValue="566053.64" maxValue="2117966.16"/>
    </cacheField>
    <cacheField name="volume_share_pct" numFmtId="0">
      <sharedItems containsSemiMixedTypes="0" containsString="0" containsNumber="1" minValue="36.299999999999997" maxValue="63.7"/>
    </cacheField>
    <cacheField name="value_share_pct" numFmtId="0">
      <sharedItems containsSemiMixedTypes="0" containsString="0" containsNumber="1" minValue="26.9" maxValue="73.099999999999994"/>
    </cacheField>
    <cacheField name="ticket_rs" numFmtId="0">
      <sharedItems containsSemiMixedTypes="0" containsString="0" containsNumber="1" containsInteger="1" minValue="570" maxValue="267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ustus 7908" refreshedDate="46303.569952893522" createdVersion="8" refreshedVersion="8" minRefreshableVersion="3" recordCount="2052" xr:uid="{F4C36B4B-6434-4808-8830-5AF51D76B1DD}">
  <cacheSource type="worksheet">
    <worksheetSource name="tbl_apps"/>
  </cacheSource>
  <cacheFields count="9">
    <cacheField name="month_date" numFmtId="14">
      <sharedItems containsSemiMixedTypes="0" containsNonDate="0" containsDate="1" containsString="0" minDate="2024-09-01T00:00:00" maxDate="2026-08-02T00:00:00" count="24">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app_name" numFmtId="0">
      <sharedItems count="107">
        <s v="PhonePe"/>
        <s v="Google Pay"/>
        <s v="Paytm"/>
        <s v="CRED"/>
        <s v="Navi"/>
        <s v="Axis Bank Apps"/>
        <s v="Amazon Pay"/>
        <s v="FamApp by Trio"/>
        <s v="ICICI Bank Apps"/>
        <s v="WhatsApp"/>
        <s v="Kotak Mahindra Bank Apps"/>
        <s v="HDFC Bank Apps"/>
        <s v="Yes Bank Apps"/>
        <s v="BHIM"/>
        <s v="super.money"/>
        <s v="Airtel Payments Bank Apps"/>
        <s v="Mobikwik"/>
        <s v="Groww"/>
        <s v="Flipkart UPI"/>
        <s v="Bajaj Finserv"/>
        <s v="Slice Small Finance Bank Apps"/>
        <s v="State Bank of India Apps"/>
        <s v="IDFC Bank Apps"/>
        <s v="Samsung Pay"/>
        <s v="India Post Payments Bank Apps"/>
        <s v="Federal Bank Apps"/>
        <s v="Jupiter Money"/>
        <s v="Deutsche Bank Apps"/>
        <s v="Canara Bank Apps"/>
        <s v="Jio Payments Bank Apps"/>
        <s v="Punjab National Bank Apps"/>
        <s v="Indian Bank Apps"/>
        <s v="POP UPI"/>
        <s v="Timepay"/>
        <s v="RBL Bank Apps"/>
        <s v="Omni Card"/>
        <s v="Bank of Baroda Apps"/>
        <s v="Central Bank of India Apps"/>
        <s v="Jammu and Kashmir Bank Apps"/>
        <s v="Aditya Birla Capital Digital"/>
        <s v="Union Bank Apps"/>
        <s v="South Indian Bank Apps"/>
        <s v="DBS Digibank Apps"/>
        <s v="HSBC Bank Apps"/>
        <s v="Fino Payments Bank Apps"/>
        <s v="AU Small Finance Bank Apps"/>
        <s v="Digikhata"/>
        <s v="IndusInd Bank Apps"/>
        <s v="Shri Ram One"/>
        <s v="Kiwi"/>
        <s v="Suryoday Bank Apps"/>
        <s v="UCO Bank Apps"/>
        <s v="Tata Pay"/>
        <s v="Indian Overseas Bank Apps"/>
        <s v="Standard Chartered Bank Apps"/>
        <s v="Karnataka Bank Apps"/>
        <s v="Bank of India Apps"/>
        <s v="Dhani"/>
        <s v="Ultracash"/>
        <s v="Niyo Global"/>
        <s v="IDBI Bank Apps"/>
        <s v="NSDL Payments Bank Apps"/>
        <s v="City Union Bank Apps"/>
        <s v="Tamilnad Mercantile Bank Apps"/>
        <s v="Rapipay"/>
        <s v="Bharat Pe"/>
        <s v="True Balance"/>
        <s v="One Card"/>
        <s v="Karur Vysya Bank Apps"/>
        <s v="Salary Se"/>
        <s v="Freo"/>
        <s v="Punjab Sind Bank Apps"/>
        <s v="Equitas Small Finance Bank Apps"/>
        <s v="Citi Bank Apps"/>
        <s v="Allahabad Bank Apps"/>
        <s v="Fi Money"/>
        <s v="ESAF Small Finance Bank Apps"/>
        <s v="Cheq"/>
        <s v="Genwise"/>
        <s v="Money View"/>
        <s v="Spice Money"/>
        <s v="Kredit Pe"/>
        <s v="Ind Money"/>
        <s v="Bank of Maharashtra Apps"/>
        <s v="Obopay"/>
        <s v="Unity Small Finance Bank Apps"/>
        <s v="Payworld"/>
        <s v="Utkarsh Small Finance Bank Apps"/>
        <s v="Jar"/>
        <s v="KreditBee"/>
        <s v="TwidPay"/>
        <s v="Oxymoney"/>
        <s v="Curie Money"/>
        <s v="LXME"/>
        <s v="Saathi by PayNearBy"/>
        <s v="Fave"/>
        <s v="ZET"/>
        <s v="Scapia"/>
        <s v="Rediff"/>
        <s v="Jummp"/>
        <s v="SnapMint"/>
        <s v="Rio Money"/>
        <s v="Stashfin"/>
        <s v="Novio"/>
        <s v="Unimoni"/>
        <s v="LivQuik"/>
        <s v="Hero Fincorp"/>
      </sharedItems>
    </cacheField>
    <cacheField name="app_group" numFmtId="0">
      <sharedItems count="4">
        <s v="PhonePe"/>
        <s v="Google Pay"/>
        <s v="Paytm"/>
        <s v="Challengers"/>
      </sharedItems>
    </cacheField>
    <cacheField name="volume_mn" numFmtId="0">
      <sharedItems containsSemiMixedTypes="0" containsString="0" containsNumber="1" minValue="0.02" maxValue="11185.1"/>
    </cacheField>
    <cacheField name="value_cr" numFmtId="0">
      <sharedItems containsSemiMixedTypes="0" containsString="0" containsNumber="1" minValue="0.03" maxValue="1467168.63"/>
    </cacheField>
    <cacheField name="vol_share_pct" numFmtId="0">
      <sharedItems containsSemiMixedTypes="0" containsString="0" containsNumber="1" minValue="0" maxValue="48.01"/>
    </cacheField>
    <cacheField name="val_share_pct" numFmtId="0">
      <sharedItems containsSemiMixedTypes="0" containsString="0" containsNumber="1" minValue="0" maxValue="50.94"/>
    </cacheField>
    <cacheField name="avg_ticket_rs" numFmtId="0">
      <sharedItems containsSemiMixedTypes="0" containsString="0" containsNumber="1" containsInteger="1" minValue="1" maxValue="12649"/>
    </cacheField>
    <cacheField name="vol_rank" numFmtId="0">
      <sharedItems containsSemiMixedTypes="0" containsString="0" containsNumber="1" containsInteger="1" minValue="1" maxValue="92"/>
    </cacheField>
  </cacheFields>
  <extLst>
    <ext xmlns:x14="http://schemas.microsoft.com/office/spreadsheetml/2009/9/main" uri="{725AE2AE-9491-48be-B2B4-4EB974FC3084}">
      <x14:pivotCacheDefinition pivotCacheId="15396018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ustus 7908" refreshedDate="46303.569953703707" createdVersion="8" refreshedVersion="8" minRefreshableVersion="3" recordCount="122" xr:uid="{6C63FD8D-9934-4203-AA83-5B73F3591AC5}">
  <cacheSource type="worksheet">
    <worksheetSource name="tbl_monthly"/>
  </cacheSource>
  <cacheFields count="10">
    <cacheField name="month_date" numFmtId="14">
      <sharedItems containsSemiMixedTypes="0" containsNonDate="0" containsDate="1" containsString="0" minDate="2016-08-01T00:00:00" maxDate="2026-09-02T00:00:00" count="122">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sharedItems>
    </cacheField>
    <cacheField name="fiscal_year" numFmtId="0">
      <sharedItems/>
    </cacheField>
    <cacheField name="banks_live" numFmtId="0">
      <sharedItems containsSemiMixedTypes="0" containsString="0" containsNumber="1" containsInteger="1" minValue="21" maxValue="756"/>
    </cacheField>
    <cacheField name="volume_bn" numFmtId="0">
      <sharedItems containsSemiMixedTypes="0" containsString="0" containsNumber="1" minValue="0" maxValue="24.509"/>
    </cacheField>
    <cacheField name="value_lakh_cr" numFmtId="0">
      <sharedItems containsSemiMixedTypes="0" containsString="0" containsNumber="1" minValue="0" maxValue="29.904"/>
    </cacheField>
    <cacheField name="avg_ticket_rs" numFmtId="0">
      <sharedItems containsSemiMixedTypes="0" containsString="0" containsNumber="1" containsInteger="1" minValue="343" maxValue="4857"/>
    </cacheField>
    <cacheField name="volume_per_day_mn" numFmtId="0">
      <sharedItems containsSemiMixedTypes="0" containsString="0" containsNumber="1" minValue="0" maxValue="802.3"/>
    </cacheField>
    <cacheField name="mom_pct" numFmtId="0">
      <sharedItems containsString="0" containsBlank="1" containsNumber="1" minValue="-19.8" maxValue="586.20000000000005"/>
    </cacheField>
    <cacheField name="yoy_volume_pct" numFmtId="0">
      <sharedItems containsString="0" containsBlank="1" containsNumber="1" minValue="21.5" maxValue="76860"/>
    </cacheField>
    <cacheField name="yoy_value_pct" numFmtId="0">
      <sharedItems containsString="0" containsBlank="1" containsNumber="1" minValue="6.4" maxValue="134418.4"/>
    </cacheField>
  </cacheFields>
  <extLst>
    <ext xmlns:x14="http://schemas.microsoft.com/office/spreadsheetml/2009/9/main" uri="{725AE2AE-9491-48be-B2B4-4EB974FC3084}">
      <x14:pivotCacheDefinition pivotCacheId="2016994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688.87"/>
    <n v="1497941.07"/>
    <n v="37.799999999999997"/>
    <n v="72.599999999999994"/>
    <n v="2633"/>
  </r>
  <r>
    <x v="0"/>
    <x v="1"/>
    <n v="9352.8799999999992"/>
    <n v="566053.64"/>
    <n v="62.2"/>
    <n v="27.4"/>
    <n v="605"/>
  </r>
  <r>
    <x v="1"/>
    <x v="0"/>
    <n v="6281.79"/>
    <n v="1681872.99"/>
    <n v="37.9"/>
    <n v="71.599999999999994"/>
    <n v="2677"/>
  </r>
  <r>
    <x v="1"/>
    <x v="1"/>
    <n v="10303.18"/>
    <n v="667948.46"/>
    <n v="62.1"/>
    <n v="28.4"/>
    <n v="648"/>
  </r>
  <r>
    <x v="2"/>
    <x v="0"/>
    <n v="5833.16"/>
    <n v="1556010.77"/>
    <n v="37.700000000000003"/>
    <n v="72.2"/>
    <n v="2668"/>
  </r>
  <r>
    <x v="2"/>
    <x v="1"/>
    <n v="9648.8700000000008"/>
    <n v="599176.63"/>
    <n v="62.3"/>
    <n v="27.8"/>
    <n v="621"/>
  </r>
  <r>
    <x v="3"/>
    <x v="0"/>
    <n v="6335.63"/>
    <n v="1692632.54"/>
    <n v="37.9"/>
    <n v="72.8"/>
    <n v="2672"/>
  </r>
  <r>
    <x v="3"/>
    <x v="1"/>
    <n v="10394.379999999999"/>
    <n v="632067.37"/>
    <n v="62.1"/>
    <n v="27.2"/>
    <n v="608"/>
  </r>
  <r>
    <x v="4"/>
    <x v="0"/>
    <n v="6426.25"/>
    <n v="1703333.03"/>
    <n v="37.799999999999997"/>
    <n v="72.5"/>
    <n v="2651"/>
  </r>
  <r>
    <x v="4"/>
    <x v="1"/>
    <n v="10569.75"/>
    <n v="644704.09"/>
    <n v="62.2"/>
    <n v="27.5"/>
    <n v="610"/>
  </r>
  <r>
    <x v="5"/>
    <x v="0"/>
    <n v="6039.45"/>
    <n v="1606397.95"/>
    <n v="37.5"/>
    <n v="73.099999999999994"/>
    <n v="2660"/>
  </r>
  <r>
    <x v="5"/>
    <x v="1"/>
    <n v="10066.74"/>
    <n v="590083.74"/>
    <n v="62.5"/>
    <n v="26.9"/>
    <n v="586"/>
  </r>
  <r>
    <x v="6"/>
    <x v="0"/>
    <n v="6840.45"/>
    <n v="1806811.06"/>
    <n v="37.4"/>
    <n v="72.900000000000006"/>
    <n v="2641"/>
  </r>
  <r>
    <x v="6"/>
    <x v="1"/>
    <n v="11461.06"/>
    <n v="670410.55000000005"/>
    <n v="62.6"/>
    <n v="27.1"/>
    <n v="585"/>
  </r>
  <r>
    <x v="7"/>
    <x v="0"/>
    <n v="6539.82"/>
    <n v="1731364.08"/>
    <n v="36.5"/>
    <n v="72.3"/>
    <n v="2647"/>
  </r>
  <r>
    <x v="7"/>
    <x v="1"/>
    <n v="11353.6"/>
    <n v="663561.79"/>
    <n v="63.5"/>
    <n v="27.7"/>
    <n v="584"/>
  </r>
  <r>
    <x v="8"/>
    <x v="0"/>
    <n v="6823.8"/>
    <n v="1817672.02"/>
    <n v="36.5"/>
    <n v="72.3"/>
    <n v="2664"/>
  </r>
  <r>
    <x v="8"/>
    <x v="1"/>
    <n v="11853.66"/>
    <n v="696624.99"/>
    <n v="63.5"/>
    <n v="27.7"/>
    <n v="588"/>
  </r>
  <r>
    <x v="9"/>
    <x v="0"/>
    <n v="6685.63"/>
    <n v="1721058.47"/>
    <n v="36.299999999999997"/>
    <n v="71.599999999999994"/>
    <n v="2574"/>
  </r>
  <r>
    <x v="9"/>
    <x v="1"/>
    <n v="11709.38"/>
    <n v="682872.22"/>
    <n v="63.7"/>
    <n v="28.4"/>
    <n v="583"/>
  </r>
  <r>
    <x v="10"/>
    <x v="0"/>
    <n v="7079.84"/>
    <n v="1774485.73"/>
    <n v="36.4"/>
    <n v="70.7"/>
    <n v="2506"/>
  </r>
  <r>
    <x v="10"/>
    <x v="1"/>
    <n v="12388.11"/>
    <n v="734012.36"/>
    <n v="63.6"/>
    <n v="29.3"/>
    <n v="593"/>
  </r>
  <r>
    <x v="11"/>
    <x v="0"/>
    <n v="7303.15"/>
    <n v="1761675.49"/>
    <n v="36.5"/>
    <n v="70.900000000000006"/>
    <n v="2412"/>
  </r>
  <r>
    <x v="11"/>
    <x v="1"/>
    <n v="12705.16"/>
    <n v="723797.42"/>
    <n v="63.5"/>
    <n v="29.1"/>
    <n v="570"/>
  </r>
  <r>
    <x v="12"/>
    <x v="0"/>
    <n v="7266.46"/>
    <n v="1770169.25"/>
    <n v="37"/>
    <n v="71.099999999999994"/>
    <n v="2436"/>
  </r>
  <r>
    <x v="12"/>
    <x v="1"/>
    <n v="12366.97"/>
    <n v="719567.29"/>
    <n v="63"/>
    <n v="28.9"/>
    <n v="582"/>
  </r>
  <r>
    <x v="13"/>
    <x v="0"/>
    <n v="7673.36"/>
    <n v="1902048.48"/>
    <n v="37.1"/>
    <n v="69.7"/>
    <n v="2479"/>
  </r>
  <r>
    <x v="13"/>
    <x v="1"/>
    <n v="13027.56"/>
    <n v="825742.2"/>
    <n v="62.9"/>
    <n v="30.3"/>
    <n v="634"/>
  </r>
  <r>
    <x v="14"/>
    <x v="0"/>
    <n v="7626.49"/>
    <n v="1867080.57"/>
    <n v="37.299999999999997"/>
    <n v="70.900000000000006"/>
    <n v="2448"/>
  </r>
  <r>
    <x v="14"/>
    <x v="1"/>
    <n v="12840.49"/>
    <n v="764552.06"/>
    <n v="62.7"/>
    <n v="29.1"/>
    <n v="595"/>
  </r>
  <r>
    <x v="15"/>
    <x v="0"/>
    <n v="8152.29"/>
    <n v="1989139.74"/>
    <n v="37.700000000000003"/>
    <n v="71.099999999999994"/>
    <n v="2440"/>
  </r>
  <r>
    <x v="15"/>
    <x v="1"/>
    <n v="13482.38"/>
    <n v="807572.99"/>
    <n v="62.3"/>
    <n v="28.9"/>
    <n v="599"/>
  </r>
  <r>
    <x v="16"/>
    <x v="0"/>
    <n v="8095.35"/>
    <n v="1992655.39"/>
    <n v="37.299999999999997"/>
    <n v="70.3"/>
    <n v="2461"/>
  </r>
  <r>
    <x v="16"/>
    <x v="1"/>
    <n v="13608.1"/>
    <n v="840825.83"/>
    <n v="62.7"/>
    <n v="29.7"/>
    <n v="618"/>
  </r>
  <r>
    <x v="17"/>
    <x v="0"/>
    <n v="7598.4"/>
    <n v="1911812.35"/>
    <n v="37.299999999999997"/>
    <n v="71.2"/>
    <n v="2516"/>
  </r>
  <r>
    <x v="17"/>
    <x v="1"/>
    <n v="12795.78"/>
    <n v="772416.94"/>
    <n v="62.7"/>
    <n v="28.8"/>
    <n v="604"/>
  </r>
  <r>
    <x v="18"/>
    <x v="0"/>
    <n v="8460.65"/>
    <n v="2091059"/>
    <n v="37.4"/>
    <n v="70.8"/>
    <n v="2472"/>
  </r>
  <r>
    <x v="18"/>
    <x v="1"/>
    <n v="14180.46"/>
    <n v="861483.05"/>
    <n v="62.6"/>
    <n v="29.2"/>
    <n v="608"/>
  </r>
  <r>
    <x v="19"/>
    <x v="0"/>
    <n v="8236.58"/>
    <n v="2051386.16"/>
    <n v="36.9"/>
    <n v="70.7"/>
    <n v="2491"/>
  </r>
  <r>
    <x v="19"/>
    <x v="1"/>
    <n v="14110.22"/>
    <n v="851601.89"/>
    <n v="63.1"/>
    <n v="29.3"/>
    <n v="604"/>
  </r>
  <r>
    <x v="20"/>
    <x v="0"/>
    <n v="8480.6299999999992"/>
    <n v="2117966.16"/>
    <n v="36.6"/>
    <n v="70.8"/>
    <n v="2497"/>
  </r>
  <r>
    <x v="20"/>
    <x v="1"/>
    <n v="14721.3"/>
    <n v="872458.05"/>
    <n v="63.4"/>
    <n v="29.2"/>
    <n v="593"/>
  </r>
  <r>
    <x v="21"/>
    <x v="0"/>
    <n v="8288.19"/>
    <n v="2031141.53"/>
    <n v="36.5"/>
    <n v="70.2"/>
    <n v="2451"/>
  </r>
  <r>
    <x v="21"/>
    <x v="1"/>
    <n v="14427.88"/>
    <n v="860997.14"/>
    <n v="63.5"/>
    <n v="29.8"/>
    <n v="597"/>
  </r>
  <r>
    <x v="22"/>
    <x v="0"/>
    <n v="8686.5"/>
    <n v="2081267.3"/>
    <n v="36.700000000000003"/>
    <n v="69.7"/>
    <n v="2396"/>
  </r>
  <r>
    <x v="22"/>
    <x v="1"/>
    <n v="14971.85"/>
    <n v="906613.19"/>
    <n v="63.3"/>
    <n v="30.3"/>
    <n v="606"/>
  </r>
  <r>
    <x v="23"/>
    <x v="0"/>
    <n v="8998.9500000000007"/>
    <n v="2087035.27"/>
    <n v="36.700000000000003"/>
    <n v="70"/>
    <n v="2319"/>
  </r>
  <r>
    <x v="23"/>
    <x v="1"/>
    <n v="15510.01"/>
    <n v="895320.68"/>
    <n v="63.3"/>
    <n v="30"/>
    <n v="57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2">
  <r>
    <x v="0"/>
    <x v="0"/>
    <x v="0"/>
    <n v="7221.22"/>
    <n v="1030871"/>
    <n v="48.01"/>
    <n v="49.95"/>
    <n v="1428"/>
    <n v="1"/>
  </r>
  <r>
    <x v="0"/>
    <x v="1"/>
    <x v="1"/>
    <n v="5625.22"/>
    <n v="746690.05"/>
    <n v="37.4"/>
    <n v="36.18"/>
    <n v="1327"/>
    <n v="2"/>
  </r>
  <r>
    <x v="0"/>
    <x v="2"/>
    <x v="2"/>
    <n v="1064.6199999999999"/>
    <n v="113351.54"/>
    <n v="7.08"/>
    <n v="5.49"/>
    <n v="1065"/>
    <n v="3"/>
  </r>
  <r>
    <x v="0"/>
    <x v="3"/>
    <x v="3"/>
    <n v="140"/>
    <n v="47982.71"/>
    <n v="0.93"/>
    <n v="2.3199999999999998"/>
    <n v="3427"/>
    <n v="4"/>
  </r>
  <r>
    <x v="0"/>
    <x v="4"/>
    <x v="3"/>
    <n v="120.41"/>
    <n v="6549.1"/>
    <n v="0.8"/>
    <n v="0.32"/>
    <n v="544"/>
    <n v="5"/>
  </r>
  <r>
    <x v="0"/>
    <x v="5"/>
    <x v="3"/>
    <n v="120.38"/>
    <n v="5986.48"/>
    <n v="0.8"/>
    <n v="0.28999999999999998"/>
    <n v="497"/>
    <n v="6"/>
  </r>
  <r>
    <x v="0"/>
    <x v="6"/>
    <x v="3"/>
    <n v="70.98"/>
    <n v="7845.04"/>
    <n v="0.47"/>
    <n v="0.38"/>
    <n v="1105"/>
    <n v="7"/>
  </r>
  <r>
    <x v="0"/>
    <x v="7"/>
    <x v="3"/>
    <n v="61.05"/>
    <n v="714.29"/>
    <n v="0.41"/>
    <n v="0.03"/>
    <n v="117"/>
    <n v="8"/>
  </r>
  <r>
    <x v="0"/>
    <x v="8"/>
    <x v="3"/>
    <n v="53.59"/>
    <n v="21076.12"/>
    <n v="0.36"/>
    <n v="1.02"/>
    <n v="3933"/>
    <n v="9"/>
  </r>
  <r>
    <x v="0"/>
    <x v="9"/>
    <x v="3"/>
    <n v="48.75"/>
    <n v="3586.71"/>
    <n v="0.32"/>
    <n v="0.17"/>
    <n v="736"/>
    <n v="10"/>
  </r>
  <r>
    <x v="0"/>
    <x v="10"/>
    <x v="3"/>
    <n v="47.14"/>
    <n v="6413.16"/>
    <n v="0.31"/>
    <n v="0.31"/>
    <n v="1360"/>
    <n v="11"/>
  </r>
  <r>
    <x v="0"/>
    <x v="11"/>
    <x v="3"/>
    <n v="36.14"/>
    <n v="8997.11"/>
    <n v="0.24"/>
    <n v="0.44"/>
    <n v="2490"/>
    <n v="12"/>
  </r>
  <r>
    <x v="0"/>
    <x v="12"/>
    <x v="3"/>
    <n v="31.27"/>
    <n v="9777.48"/>
    <n v="0.21"/>
    <n v="0.47"/>
    <n v="3127"/>
    <n v="13"/>
  </r>
  <r>
    <x v="0"/>
    <x v="13"/>
    <x v="3"/>
    <n v="26.39"/>
    <n v="8466.2999999999993"/>
    <n v="0.18"/>
    <n v="0.41"/>
    <n v="3208"/>
    <n v="14"/>
  </r>
  <r>
    <x v="0"/>
    <x v="14"/>
    <x v="3"/>
    <n v="25.75"/>
    <n v="1131.5899999999999"/>
    <n v="0.17"/>
    <n v="0.05"/>
    <n v="439"/>
    <n v="15"/>
  </r>
  <r>
    <x v="0"/>
    <x v="15"/>
    <x v="3"/>
    <n v="17.41"/>
    <n v="1278.3800000000001"/>
    <n v="0.12"/>
    <n v="0.06"/>
    <n v="734"/>
    <n v="16"/>
  </r>
  <r>
    <x v="0"/>
    <x v="16"/>
    <x v="3"/>
    <n v="16.07"/>
    <n v="2964.08"/>
    <n v="0.11"/>
    <n v="0.14000000000000001"/>
    <n v="1844"/>
    <n v="17"/>
  </r>
  <r>
    <x v="0"/>
    <x v="17"/>
    <x v="3"/>
    <n v="13.46"/>
    <n v="9526.49"/>
    <n v="0.09"/>
    <n v="0.46"/>
    <n v="7078"/>
    <n v="18"/>
  </r>
  <r>
    <x v="0"/>
    <x v="18"/>
    <x v="3"/>
    <n v="12.85"/>
    <n v="734.8"/>
    <n v="0.09"/>
    <n v="0.04"/>
    <n v="572"/>
    <n v="19"/>
  </r>
  <r>
    <x v="0"/>
    <x v="19"/>
    <x v="3"/>
    <n v="11.15"/>
    <n v="2711.55"/>
    <n v="7.0000000000000007E-2"/>
    <n v="0.13"/>
    <n v="2432"/>
    <n v="20"/>
  </r>
  <r>
    <x v="0"/>
    <x v="20"/>
    <x v="3"/>
    <n v="10.62"/>
    <n v="792.06"/>
    <n v="7.0000000000000007E-2"/>
    <n v="0.04"/>
    <n v="746"/>
    <n v="21"/>
  </r>
  <r>
    <x v="0"/>
    <x v="21"/>
    <x v="3"/>
    <n v="9.8000000000000007"/>
    <n v="2883.42"/>
    <n v="7.0000000000000007E-2"/>
    <n v="0.14000000000000001"/>
    <n v="2942"/>
    <n v="22"/>
  </r>
  <r>
    <x v="0"/>
    <x v="22"/>
    <x v="3"/>
    <n v="8.33"/>
    <n v="1838.99"/>
    <n v="0.06"/>
    <n v="0.09"/>
    <n v="2208"/>
    <n v="23"/>
  </r>
  <r>
    <x v="0"/>
    <x v="23"/>
    <x v="3"/>
    <n v="7.33"/>
    <n v="564.5"/>
    <n v="0.05"/>
    <n v="0.03"/>
    <n v="770"/>
    <n v="24"/>
  </r>
  <r>
    <x v="0"/>
    <x v="24"/>
    <x v="3"/>
    <n v="6.96"/>
    <n v="908.78"/>
    <n v="0.05"/>
    <n v="0.04"/>
    <n v="1306"/>
    <n v="25"/>
  </r>
  <r>
    <x v="0"/>
    <x v="25"/>
    <x v="3"/>
    <n v="6.3"/>
    <n v="918.67"/>
    <n v="0.04"/>
    <n v="0.04"/>
    <n v="1458"/>
    <n v="26"/>
  </r>
  <r>
    <x v="0"/>
    <x v="26"/>
    <x v="3"/>
    <n v="6.13"/>
    <n v="810.01"/>
    <n v="0.04"/>
    <n v="0.04"/>
    <n v="1321"/>
    <n v="27"/>
  </r>
  <r>
    <x v="0"/>
    <x v="27"/>
    <x v="3"/>
    <n v="3.05"/>
    <n v="348.9"/>
    <n v="0.02"/>
    <n v="0.02"/>
    <n v="1144"/>
    <n v="28"/>
  </r>
  <r>
    <x v="0"/>
    <x v="28"/>
    <x v="3"/>
    <n v="3.04"/>
    <n v="799.52"/>
    <n v="0.02"/>
    <n v="0.04"/>
    <n v="2630"/>
    <n v="29"/>
  </r>
  <r>
    <x v="0"/>
    <x v="29"/>
    <x v="3"/>
    <n v="2.79"/>
    <n v="212.23"/>
    <n v="0.02"/>
    <n v="0.01"/>
    <n v="761"/>
    <n v="30"/>
  </r>
  <r>
    <x v="0"/>
    <x v="30"/>
    <x v="3"/>
    <n v="2.74"/>
    <n v="606.83000000000004"/>
    <n v="0.02"/>
    <n v="0.03"/>
    <n v="2215"/>
    <n v="31"/>
  </r>
  <r>
    <x v="0"/>
    <x v="31"/>
    <x v="3"/>
    <n v="2.69"/>
    <n v="424.89"/>
    <n v="0.02"/>
    <n v="0.02"/>
    <n v="1580"/>
    <n v="32"/>
  </r>
  <r>
    <x v="0"/>
    <x v="32"/>
    <x v="3"/>
    <n v="1.81"/>
    <n v="131.19999999999999"/>
    <n v="0.01"/>
    <n v="0.01"/>
    <n v="725"/>
    <n v="33"/>
  </r>
  <r>
    <x v="0"/>
    <x v="33"/>
    <x v="3"/>
    <n v="1.74"/>
    <n v="15.26"/>
    <n v="0.01"/>
    <n v="0"/>
    <n v="88"/>
    <n v="34"/>
  </r>
  <r>
    <x v="0"/>
    <x v="34"/>
    <x v="3"/>
    <n v="1.66"/>
    <n v="603.44000000000005"/>
    <n v="0.01"/>
    <n v="0.03"/>
    <n v="3635"/>
    <n v="35"/>
  </r>
  <r>
    <x v="0"/>
    <x v="35"/>
    <x v="3"/>
    <n v="1.31"/>
    <n v="74.959999999999994"/>
    <n v="0.01"/>
    <n v="0"/>
    <n v="572"/>
    <n v="36"/>
  </r>
  <r>
    <x v="0"/>
    <x v="36"/>
    <x v="3"/>
    <n v="1.1200000000000001"/>
    <n v="452.89"/>
    <n v="0.01"/>
    <n v="0.02"/>
    <n v="4044"/>
    <n v="37"/>
  </r>
  <r>
    <x v="0"/>
    <x v="37"/>
    <x v="3"/>
    <n v="0.97"/>
    <n v="189.93"/>
    <n v="0.01"/>
    <n v="0.01"/>
    <n v="1958"/>
    <n v="38"/>
  </r>
  <r>
    <x v="0"/>
    <x v="38"/>
    <x v="3"/>
    <n v="0.77"/>
    <n v="118.94"/>
    <n v="0.01"/>
    <n v="0.01"/>
    <n v="1545"/>
    <n v="39"/>
  </r>
  <r>
    <x v="0"/>
    <x v="39"/>
    <x v="3"/>
    <n v="0.72"/>
    <n v="32.26"/>
    <n v="0"/>
    <n v="0"/>
    <n v="448"/>
    <n v="40"/>
  </r>
  <r>
    <x v="0"/>
    <x v="40"/>
    <x v="3"/>
    <n v="0.62"/>
    <n v="212.37"/>
    <n v="0"/>
    <n v="0.01"/>
    <n v="3425"/>
    <n v="41"/>
  </r>
  <r>
    <x v="0"/>
    <x v="41"/>
    <x v="3"/>
    <n v="0.6"/>
    <n v="169.06"/>
    <n v="0"/>
    <n v="0.01"/>
    <n v="2818"/>
    <n v="42"/>
  </r>
  <r>
    <x v="0"/>
    <x v="42"/>
    <x v="3"/>
    <n v="0.52"/>
    <n v="200.42"/>
    <n v="0"/>
    <n v="0.01"/>
    <n v="3854"/>
    <n v="43"/>
  </r>
  <r>
    <x v="0"/>
    <x v="43"/>
    <x v="3"/>
    <n v="0.51"/>
    <n v="153.54"/>
    <n v="0"/>
    <n v="0.01"/>
    <n v="3011"/>
    <n v="44"/>
  </r>
  <r>
    <x v="0"/>
    <x v="44"/>
    <x v="3"/>
    <n v="0.49"/>
    <n v="57.89"/>
    <n v="0"/>
    <n v="0"/>
    <n v="1181"/>
    <n v="45"/>
  </r>
  <r>
    <x v="0"/>
    <x v="45"/>
    <x v="3"/>
    <n v="0.46"/>
    <n v="136.87"/>
    <n v="0"/>
    <n v="0.01"/>
    <n v="2975"/>
    <n v="46"/>
  </r>
  <r>
    <x v="0"/>
    <x v="46"/>
    <x v="3"/>
    <n v="0.38"/>
    <n v="122.41"/>
    <n v="0"/>
    <n v="0.01"/>
    <n v="3221"/>
    <n v="47"/>
  </r>
  <r>
    <x v="0"/>
    <x v="47"/>
    <x v="3"/>
    <n v="0.36"/>
    <n v="90.58"/>
    <n v="0"/>
    <n v="0"/>
    <n v="2516"/>
    <n v="48"/>
  </r>
  <r>
    <x v="0"/>
    <x v="48"/>
    <x v="3"/>
    <n v="0.35"/>
    <n v="42.33"/>
    <n v="0"/>
    <n v="0"/>
    <n v="1209"/>
    <n v="49"/>
  </r>
  <r>
    <x v="0"/>
    <x v="49"/>
    <x v="3"/>
    <n v="0.28999999999999998"/>
    <n v="44.31"/>
    <n v="0"/>
    <n v="0"/>
    <n v="1528"/>
    <n v="50"/>
  </r>
  <r>
    <x v="0"/>
    <x v="50"/>
    <x v="3"/>
    <n v="0.28999999999999998"/>
    <n v="0.03"/>
    <n v="0"/>
    <n v="0"/>
    <n v="1"/>
    <n v="50"/>
  </r>
  <r>
    <x v="0"/>
    <x v="51"/>
    <x v="3"/>
    <n v="0.26"/>
    <n v="59.89"/>
    <n v="0"/>
    <n v="0"/>
    <n v="2303"/>
    <n v="52"/>
  </r>
  <r>
    <x v="0"/>
    <x v="52"/>
    <x v="3"/>
    <n v="0.21"/>
    <n v="40.5"/>
    <n v="0"/>
    <n v="0"/>
    <n v="1929"/>
    <n v="53"/>
  </r>
  <r>
    <x v="0"/>
    <x v="53"/>
    <x v="3"/>
    <n v="0.17"/>
    <n v="48.02"/>
    <n v="0"/>
    <n v="0"/>
    <n v="2825"/>
    <n v="54"/>
  </r>
  <r>
    <x v="0"/>
    <x v="54"/>
    <x v="3"/>
    <n v="0.17"/>
    <n v="108.86"/>
    <n v="0"/>
    <n v="0.01"/>
    <n v="6404"/>
    <n v="54"/>
  </r>
  <r>
    <x v="0"/>
    <x v="55"/>
    <x v="3"/>
    <n v="0.15"/>
    <n v="31.93"/>
    <n v="0"/>
    <n v="0"/>
    <n v="2129"/>
    <n v="56"/>
  </r>
  <r>
    <x v="0"/>
    <x v="56"/>
    <x v="3"/>
    <n v="0.15"/>
    <n v="35.33"/>
    <n v="0"/>
    <n v="0"/>
    <n v="2355"/>
    <n v="56"/>
  </r>
  <r>
    <x v="0"/>
    <x v="57"/>
    <x v="3"/>
    <n v="0.13"/>
    <n v="15.76"/>
    <n v="0"/>
    <n v="0"/>
    <n v="1212"/>
    <n v="58"/>
  </r>
  <r>
    <x v="0"/>
    <x v="58"/>
    <x v="3"/>
    <n v="0.12"/>
    <n v="8.7100000000000009"/>
    <n v="0"/>
    <n v="0"/>
    <n v="726"/>
    <n v="59"/>
  </r>
  <r>
    <x v="0"/>
    <x v="59"/>
    <x v="3"/>
    <n v="0.09"/>
    <n v="49.74"/>
    <n v="0"/>
    <n v="0"/>
    <n v="5527"/>
    <n v="60"/>
  </r>
  <r>
    <x v="0"/>
    <x v="60"/>
    <x v="3"/>
    <n v="0.09"/>
    <n v="34.69"/>
    <n v="0"/>
    <n v="0"/>
    <n v="3854"/>
    <n v="60"/>
  </r>
  <r>
    <x v="0"/>
    <x v="61"/>
    <x v="3"/>
    <n v="0.08"/>
    <n v="10.6"/>
    <n v="0"/>
    <n v="0"/>
    <n v="1325"/>
    <n v="62"/>
  </r>
  <r>
    <x v="0"/>
    <x v="62"/>
    <x v="3"/>
    <n v="7.0000000000000007E-2"/>
    <n v="27.34"/>
    <n v="0"/>
    <n v="0"/>
    <n v="3906"/>
    <n v="63"/>
  </r>
  <r>
    <x v="0"/>
    <x v="63"/>
    <x v="3"/>
    <n v="7.0000000000000007E-2"/>
    <n v="22.04"/>
    <n v="0"/>
    <n v="0"/>
    <n v="3149"/>
    <n v="63"/>
  </r>
  <r>
    <x v="0"/>
    <x v="64"/>
    <x v="3"/>
    <n v="0.06"/>
    <n v="9.5500000000000007"/>
    <n v="0"/>
    <n v="0"/>
    <n v="1592"/>
    <n v="65"/>
  </r>
  <r>
    <x v="0"/>
    <x v="65"/>
    <x v="3"/>
    <n v="0.06"/>
    <n v="6.03"/>
    <n v="0"/>
    <n v="0"/>
    <n v="1005"/>
    <n v="65"/>
  </r>
  <r>
    <x v="0"/>
    <x v="66"/>
    <x v="3"/>
    <n v="0.05"/>
    <n v="6.37"/>
    <n v="0"/>
    <n v="0"/>
    <n v="1274"/>
    <n v="67"/>
  </r>
  <r>
    <x v="0"/>
    <x v="67"/>
    <x v="3"/>
    <n v="0.05"/>
    <n v="27.93"/>
    <n v="0"/>
    <n v="0"/>
    <n v="5586"/>
    <n v="67"/>
  </r>
  <r>
    <x v="0"/>
    <x v="68"/>
    <x v="3"/>
    <n v="0.05"/>
    <n v="16.829999999999998"/>
    <n v="0"/>
    <n v="0"/>
    <n v="3366"/>
    <n v="67"/>
  </r>
  <r>
    <x v="0"/>
    <x v="69"/>
    <x v="3"/>
    <n v="0.04"/>
    <n v="1.78"/>
    <n v="0"/>
    <n v="0"/>
    <n v="445"/>
    <n v="70"/>
  </r>
  <r>
    <x v="0"/>
    <x v="70"/>
    <x v="3"/>
    <n v="0.04"/>
    <n v="1.91"/>
    <n v="0"/>
    <n v="0"/>
    <n v="478"/>
    <n v="70"/>
  </r>
  <r>
    <x v="0"/>
    <x v="71"/>
    <x v="3"/>
    <n v="0.03"/>
    <n v="16.39"/>
    <n v="0"/>
    <n v="0"/>
    <n v="5463"/>
    <n v="72"/>
  </r>
  <r>
    <x v="0"/>
    <x v="72"/>
    <x v="3"/>
    <n v="0.03"/>
    <n v="24.45"/>
    <n v="0"/>
    <n v="0"/>
    <n v="8150"/>
    <n v="72"/>
  </r>
  <r>
    <x v="0"/>
    <x v="73"/>
    <x v="3"/>
    <n v="0.03"/>
    <n v="1.93"/>
    <n v="0"/>
    <n v="0"/>
    <n v="643"/>
    <n v="72"/>
  </r>
  <r>
    <x v="0"/>
    <x v="74"/>
    <x v="3"/>
    <n v="0.02"/>
    <n v="5.54"/>
    <n v="0"/>
    <n v="0"/>
    <n v="2770"/>
    <n v="75"/>
  </r>
  <r>
    <x v="1"/>
    <x v="0"/>
    <x v="0"/>
    <n v="7905.54"/>
    <n v="1169290.03"/>
    <n v="47.67"/>
    <n v="49.76"/>
    <n v="1479"/>
    <n v="1"/>
  </r>
  <r>
    <x v="1"/>
    <x v="1"/>
    <x v="1"/>
    <n v="6201.81"/>
    <n v="849327.38"/>
    <n v="37.39"/>
    <n v="36.14"/>
    <n v="1369"/>
    <n v="2"/>
  </r>
  <r>
    <x v="1"/>
    <x v="2"/>
    <x v="2"/>
    <n v="1165.01"/>
    <n v="129584.98"/>
    <n v="7.02"/>
    <n v="5.51"/>
    <n v="1112"/>
    <n v="3"/>
  </r>
  <r>
    <x v="1"/>
    <x v="4"/>
    <x v="3"/>
    <n v="157.51"/>
    <n v="8841.9"/>
    <n v="0.95"/>
    <n v="0.38"/>
    <n v="561"/>
    <n v="4"/>
  </r>
  <r>
    <x v="1"/>
    <x v="3"/>
    <x v="3"/>
    <n v="152.28"/>
    <n v="55202.12"/>
    <n v="0.92"/>
    <n v="2.35"/>
    <n v="3625"/>
    <n v="5"/>
  </r>
  <r>
    <x v="1"/>
    <x v="5"/>
    <x v="3"/>
    <n v="139.68"/>
    <n v="6829.53"/>
    <n v="0.84"/>
    <n v="0.28999999999999998"/>
    <n v="489"/>
    <n v="6"/>
  </r>
  <r>
    <x v="1"/>
    <x v="6"/>
    <x v="3"/>
    <n v="79.55"/>
    <n v="9205.7199999999993"/>
    <n v="0.48"/>
    <n v="0.39"/>
    <n v="1157"/>
    <n v="7"/>
  </r>
  <r>
    <x v="1"/>
    <x v="7"/>
    <x v="3"/>
    <n v="69.900000000000006"/>
    <n v="825.19"/>
    <n v="0.42"/>
    <n v="0.04"/>
    <n v="118"/>
    <n v="8"/>
  </r>
  <r>
    <x v="1"/>
    <x v="8"/>
    <x v="3"/>
    <n v="57.54"/>
    <n v="23686.95"/>
    <n v="0.35"/>
    <n v="1.01"/>
    <n v="4117"/>
    <n v="9"/>
  </r>
  <r>
    <x v="1"/>
    <x v="9"/>
    <x v="3"/>
    <n v="55.07"/>
    <n v="4137.17"/>
    <n v="0.33"/>
    <n v="0.18"/>
    <n v="751"/>
    <n v="10"/>
  </r>
  <r>
    <x v="1"/>
    <x v="10"/>
    <x v="3"/>
    <n v="51.92"/>
    <n v="7565.22"/>
    <n v="0.31"/>
    <n v="0.32"/>
    <n v="1457"/>
    <n v="11"/>
  </r>
  <r>
    <x v="1"/>
    <x v="14"/>
    <x v="3"/>
    <n v="49.68"/>
    <n v="2167.86"/>
    <n v="0.3"/>
    <n v="0.09"/>
    <n v="436"/>
    <n v="12"/>
  </r>
  <r>
    <x v="1"/>
    <x v="11"/>
    <x v="3"/>
    <n v="39.409999999999997"/>
    <n v="10427.969999999999"/>
    <n v="0.24"/>
    <n v="0.44"/>
    <n v="2646"/>
    <n v="13"/>
  </r>
  <r>
    <x v="1"/>
    <x v="12"/>
    <x v="3"/>
    <n v="36.79"/>
    <n v="10245.469999999999"/>
    <n v="0.22"/>
    <n v="0.44"/>
    <n v="2785"/>
    <n v="14"/>
  </r>
  <r>
    <x v="1"/>
    <x v="13"/>
    <x v="3"/>
    <n v="29.9"/>
    <n v="10170.6"/>
    <n v="0.18"/>
    <n v="0.43"/>
    <n v="3402"/>
    <n v="15"/>
  </r>
  <r>
    <x v="1"/>
    <x v="15"/>
    <x v="3"/>
    <n v="20.03"/>
    <n v="1504.36"/>
    <n v="0.12"/>
    <n v="0.06"/>
    <n v="751"/>
    <n v="16"/>
  </r>
  <r>
    <x v="1"/>
    <x v="16"/>
    <x v="3"/>
    <n v="17.2"/>
    <n v="2995.42"/>
    <n v="0.1"/>
    <n v="0.13"/>
    <n v="1742"/>
    <n v="17"/>
  </r>
  <r>
    <x v="1"/>
    <x v="17"/>
    <x v="3"/>
    <n v="15.35"/>
    <n v="11862.09"/>
    <n v="0.09"/>
    <n v="0.5"/>
    <n v="7728"/>
    <n v="18"/>
  </r>
  <r>
    <x v="1"/>
    <x v="18"/>
    <x v="3"/>
    <n v="14.62"/>
    <n v="825.95"/>
    <n v="0.09"/>
    <n v="0.04"/>
    <n v="565"/>
    <n v="19"/>
  </r>
  <r>
    <x v="1"/>
    <x v="20"/>
    <x v="3"/>
    <n v="12.19"/>
    <n v="907.37"/>
    <n v="7.0000000000000007E-2"/>
    <n v="0.04"/>
    <n v="744"/>
    <n v="20"/>
  </r>
  <r>
    <x v="1"/>
    <x v="21"/>
    <x v="3"/>
    <n v="11.73"/>
    <n v="3527.88"/>
    <n v="7.0000000000000007E-2"/>
    <n v="0.15"/>
    <n v="3008"/>
    <n v="21"/>
  </r>
  <r>
    <x v="1"/>
    <x v="19"/>
    <x v="3"/>
    <n v="10.66"/>
    <n v="2330.2600000000002"/>
    <n v="0.06"/>
    <n v="0.1"/>
    <n v="2186"/>
    <n v="22"/>
  </r>
  <r>
    <x v="1"/>
    <x v="24"/>
    <x v="3"/>
    <n v="10.11"/>
    <n v="1507.56"/>
    <n v="0.06"/>
    <n v="0.06"/>
    <n v="1491"/>
    <n v="23"/>
  </r>
  <r>
    <x v="1"/>
    <x v="22"/>
    <x v="3"/>
    <n v="9.33"/>
    <n v="2162.85"/>
    <n v="0.06"/>
    <n v="0.09"/>
    <n v="2318"/>
    <n v="24"/>
  </r>
  <r>
    <x v="1"/>
    <x v="23"/>
    <x v="3"/>
    <n v="8.56"/>
    <n v="664.7"/>
    <n v="0.05"/>
    <n v="0.03"/>
    <n v="777"/>
    <n v="25"/>
  </r>
  <r>
    <x v="1"/>
    <x v="26"/>
    <x v="3"/>
    <n v="6.36"/>
    <n v="873.89"/>
    <n v="0.04"/>
    <n v="0.04"/>
    <n v="1374"/>
    <n v="26"/>
  </r>
  <r>
    <x v="1"/>
    <x v="75"/>
    <x v="3"/>
    <n v="3.44"/>
    <n v="421.4"/>
    <n v="0.02"/>
    <n v="0.02"/>
    <n v="1225"/>
    <n v="27"/>
  </r>
  <r>
    <x v="1"/>
    <x v="30"/>
    <x v="3"/>
    <n v="3.31"/>
    <n v="785.24"/>
    <n v="0.02"/>
    <n v="0.03"/>
    <n v="2372"/>
    <n v="28"/>
  </r>
  <r>
    <x v="1"/>
    <x v="28"/>
    <x v="3"/>
    <n v="3.27"/>
    <n v="898.89"/>
    <n v="0.02"/>
    <n v="0.04"/>
    <n v="2749"/>
    <n v="29"/>
  </r>
  <r>
    <x v="1"/>
    <x v="29"/>
    <x v="3"/>
    <n v="3.23"/>
    <n v="269.69"/>
    <n v="0.02"/>
    <n v="0.01"/>
    <n v="835"/>
    <n v="30"/>
  </r>
  <r>
    <x v="1"/>
    <x v="31"/>
    <x v="3"/>
    <n v="3.11"/>
    <n v="513.42999999999995"/>
    <n v="0.02"/>
    <n v="0.02"/>
    <n v="1651"/>
    <n v="31"/>
  </r>
  <r>
    <x v="1"/>
    <x v="25"/>
    <x v="3"/>
    <n v="2.96"/>
    <n v="542.57000000000005"/>
    <n v="0.02"/>
    <n v="0.02"/>
    <n v="1833"/>
    <n v="32"/>
  </r>
  <r>
    <x v="1"/>
    <x v="32"/>
    <x v="3"/>
    <n v="2.93"/>
    <n v="209.84"/>
    <n v="0.02"/>
    <n v="0.01"/>
    <n v="716"/>
    <n v="33"/>
  </r>
  <r>
    <x v="1"/>
    <x v="34"/>
    <x v="3"/>
    <n v="2.88"/>
    <n v="723.15"/>
    <n v="0.02"/>
    <n v="0.03"/>
    <n v="2511"/>
    <n v="34"/>
  </r>
  <r>
    <x v="1"/>
    <x v="27"/>
    <x v="3"/>
    <n v="2.58"/>
    <n v="395.32"/>
    <n v="0.02"/>
    <n v="0.02"/>
    <n v="1532"/>
    <n v="35"/>
  </r>
  <r>
    <x v="1"/>
    <x v="33"/>
    <x v="3"/>
    <n v="2.15"/>
    <n v="18.600000000000001"/>
    <n v="0.01"/>
    <n v="0"/>
    <n v="87"/>
    <n v="36"/>
  </r>
  <r>
    <x v="1"/>
    <x v="35"/>
    <x v="3"/>
    <n v="1.49"/>
    <n v="96.52"/>
    <n v="0.01"/>
    <n v="0"/>
    <n v="648"/>
    <n v="37"/>
  </r>
  <r>
    <x v="1"/>
    <x v="36"/>
    <x v="3"/>
    <n v="1.1599999999999999"/>
    <n v="499.63"/>
    <n v="0.01"/>
    <n v="0.02"/>
    <n v="4307"/>
    <n v="38"/>
  </r>
  <r>
    <x v="1"/>
    <x v="37"/>
    <x v="3"/>
    <n v="1.1100000000000001"/>
    <n v="219.02"/>
    <n v="0.01"/>
    <n v="0.01"/>
    <n v="1973"/>
    <n v="39"/>
  </r>
  <r>
    <x v="1"/>
    <x v="39"/>
    <x v="3"/>
    <n v="0.97"/>
    <n v="37.97"/>
    <n v="0.01"/>
    <n v="0"/>
    <n v="391"/>
    <n v="40"/>
  </r>
  <r>
    <x v="1"/>
    <x v="38"/>
    <x v="3"/>
    <n v="0.83"/>
    <n v="144"/>
    <n v="0.01"/>
    <n v="0.01"/>
    <n v="1735"/>
    <n v="41"/>
  </r>
  <r>
    <x v="1"/>
    <x v="40"/>
    <x v="3"/>
    <n v="0.8"/>
    <n v="282.02"/>
    <n v="0"/>
    <n v="0.01"/>
    <n v="3525"/>
    <n v="42"/>
  </r>
  <r>
    <x v="1"/>
    <x v="43"/>
    <x v="3"/>
    <n v="0.68"/>
    <n v="179.35"/>
    <n v="0"/>
    <n v="0.01"/>
    <n v="2638"/>
    <n v="43"/>
  </r>
  <r>
    <x v="1"/>
    <x v="41"/>
    <x v="3"/>
    <n v="0.61"/>
    <n v="179.8"/>
    <n v="0"/>
    <n v="0.01"/>
    <n v="2948"/>
    <n v="44"/>
  </r>
  <r>
    <x v="1"/>
    <x v="42"/>
    <x v="3"/>
    <n v="0.61"/>
    <n v="214.82"/>
    <n v="0"/>
    <n v="0.01"/>
    <n v="3522"/>
    <n v="44"/>
  </r>
  <r>
    <x v="1"/>
    <x v="44"/>
    <x v="3"/>
    <n v="0.57999999999999996"/>
    <n v="70.11"/>
    <n v="0"/>
    <n v="0"/>
    <n v="1209"/>
    <n v="46"/>
  </r>
  <r>
    <x v="1"/>
    <x v="45"/>
    <x v="3"/>
    <n v="0.49"/>
    <n v="146.97999999999999"/>
    <n v="0"/>
    <n v="0.01"/>
    <n v="3000"/>
    <n v="47"/>
  </r>
  <r>
    <x v="1"/>
    <x v="48"/>
    <x v="3"/>
    <n v="0.47"/>
    <n v="47.25"/>
    <n v="0"/>
    <n v="0"/>
    <n v="1005"/>
    <n v="48"/>
  </r>
  <r>
    <x v="1"/>
    <x v="46"/>
    <x v="3"/>
    <n v="0.46"/>
    <n v="166.18"/>
    <n v="0"/>
    <n v="0.01"/>
    <n v="3613"/>
    <n v="49"/>
  </r>
  <r>
    <x v="1"/>
    <x v="49"/>
    <x v="3"/>
    <n v="0.41"/>
    <n v="66.739999999999995"/>
    <n v="0"/>
    <n v="0"/>
    <n v="1628"/>
    <n v="50"/>
  </r>
  <r>
    <x v="1"/>
    <x v="47"/>
    <x v="3"/>
    <n v="0.36"/>
    <n v="93.29"/>
    <n v="0"/>
    <n v="0"/>
    <n v="2591"/>
    <n v="51"/>
  </r>
  <r>
    <x v="1"/>
    <x v="51"/>
    <x v="3"/>
    <n v="0.31"/>
    <n v="77.02"/>
    <n v="0"/>
    <n v="0"/>
    <n v="2485"/>
    <n v="52"/>
  </r>
  <r>
    <x v="1"/>
    <x v="52"/>
    <x v="3"/>
    <n v="0.31"/>
    <n v="74.8"/>
    <n v="0"/>
    <n v="0"/>
    <n v="2413"/>
    <n v="52"/>
  </r>
  <r>
    <x v="1"/>
    <x v="67"/>
    <x v="3"/>
    <n v="0.28999999999999998"/>
    <n v="261.08"/>
    <n v="0"/>
    <n v="0.01"/>
    <n v="9003"/>
    <n v="54"/>
  </r>
  <r>
    <x v="1"/>
    <x v="50"/>
    <x v="3"/>
    <n v="0.26"/>
    <n v="0.05"/>
    <n v="0"/>
    <n v="0"/>
    <n v="2"/>
    <n v="55"/>
  </r>
  <r>
    <x v="1"/>
    <x v="56"/>
    <x v="3"/>
    <n v="0.2"/>
    <n v="45.85"/>
    <n v="0"/>
    <n v="0"/>
    <n v="2293"/>
    <n v="56"/>
  </r>
  <r>
    <x v="1"/>
    <x v="53"/>
    <x v="3"/>
    <n v="0.2"/>
    <n v="56.07"/>
    <n v="0"/>
    <n v="0"/>
    <n v="2804"/>
    <n v="56"/>
  </r>
  <r>
    <x v="1"/>
    <x v="54"/>
    <x v="3"/>
    <n v="0.2"/>
    <n v="131.83000000000001"/>
    <n v="0"/>
    <n v="0.01"/>
    <n v="6592"/>
    <n v="56"/>
  </r>
  <r>
    <x v="1"/>
    <x v="55"/>
    <x v="3"/>
    <n v="0.16"/>
    <n v="34.880000000000003"/>
    <n v="0"/>
    <n v="0"/>
    <n v="2180"/>
    <n v="59"/>
  </r>
  <r>
    <x v="1"/>
    <x v="57"/>
    <x v="3"/>
    <n v="0.13"/>
    <n v="14.62"/>
    <n v="0"/>
    <n v="0"/>
    <n v="1125"/>
    <n v="60"/>
  </r>
  <r>
    <x v="1"/>
    <x v="66"/>
    <x v="3"/>
    <n v="0.13"/>
    <n v="16.510000000000002"/>
    <n v="0"/>
    <n v="0"/>
    <n v="1270"/>
    <n v="60"/>
  </r>
  <r>
    <x v="1"/>
    <x v="59"/>
    <x v="3"/>
    <n v="0.1"/>
    <n v="55.57"/>
    <n v="0"/>
    <n v="0"/>
    <n v="5557"/>
    <n v="62"/>
  </r>
  <r>
    <x v="1"/>
    <x v="61"/>
    <x v="3"/>
    <n v="0.09"/>
    <n v="12.1"/>
    <n v="0"/>
    <n v="0"/>
    <n v="1344"/>
    <n v="63"/>
  </r>
  <r>
    <x v="1"/>
    <x v="58"/>
    <x v="3"/>
    <n v="0.09"/>
    <n v="5.94"/>
    <n v="0"/>
    <n v="0"/>
    <n v="660"/>
    <n v="63"/>
  </r>
  <r>
    <x v="1"/>
    <x v="64"/>
    <x v="3"/>
    <n v="0.08"/>
    <n v="11.38"/>
    <n v="0"/>
    <n v="0"/>
    <n v="1423"/>
    <n v="65"/>
  </r>
  <r>
    <x v="1"/>
    <x v="62"/>
    <x v="3"/>
    <n v="0.08"/>
    <n v="29.97"/>
    <n v="0"/>
    <n v="0"/>
    <n v="3746"/>
    <n v="65"/>
  </r>
  <r>
    <x v="1"/>
    <x v="60"/>
    <x v="3"/>
    <n v="0.08"/>
    <n v="29.72"/>
    <n v="0"/>
    <n v="0"/>
    <n v="3715"/>
    <n v="65"/>
  </r>
  <r>
    <x v="1"/>
    <x v="63"/>
    <x v="3"/>
    <n v="7.0000000000000007E-2"/>
    <n v="24.55"/>
    <n v="0"/>
    <n v="0"/>
    <n v="3507"/>
    <n v="68"/>
  </r>
  <r>
    <x v="1"/>
    <x v="69"/>
    <x v="3"/>
    <n v="7.0000000000000007E-2"/>
    <n v="3.95"/>
    <n v="0"/>
    <n v="0"/>
    <n v="564"/>
    <n v="68"/>
  </r>
  <r>
    <x v="1"/>
    <x v="76"/>
    <x v="3"/>
    <n v="0.06"/>
    <n v="8.57"/>
    <n v="0"/>
    <n v="0"/>
    <n v="1428"/>
    <n v="70"/>
  </r>
  <r>
    <x v="1"/>
    <x v="65"/>
    <x v="3"/>
    <n v="0.05"/>
    <n v="7.27"/>
    <n v="0"/>
    <n v="0"/>
    <n v="1454"/>
    <n v="71"/>
  </r>
  <r>
    <x v="1"/>
    <x v="70"/>
    <x v="3"/>
    <n v="0.05"/>
    <n v="2.7"/>
    <n v="0"/>
    <n v="0"/>
    <n v="540"/>
    <n v="71"/>
  </r>
  <r>
    <x v="1"/>
    <x v="68"/>
    <x v="3"/>
    <n v="0.05"/>
    <n v="18.399999999999999"/>
    <n v="0"/>
    <n v="0"/>
    <n v="3680"/>
    <n v="71"/>
  </r>
  <r>
    <x v="1"/>
    <x v="72"/>
    <x v="3"/>
    <n v="0.04"/>
    <n v="29.7"/>
    <n v="0"/>
    <n v="0"/>
    <n v="7425"/>
    <n v="74"/>
  </r>
  <r>
    <x v="1"/>
    <x v="71"/>
    <x v="3"/>
    <n v="0.03"/>
    <n v="16.46"/>
    <n v="0"/>
    <n v="0"/>
    <n v="5487"/>
    <n v="75"/>
  </r>
  <r>
    <x v="1"/>
    <x v="77"/>
    <x v="3"/>
    <n v="0.02"/>
    <n v="1.62"/>
    <n v="0"/>
    <n v="0"/>
    <n v="810"/>
    <n v="76"/>
  </r>
  <r>
    <x v="2"/>
    <x v="0"/>
    <x v="0"/>
    <n v="7401.93"/>
    <n v="1088635.03"/>
    <n v="47.81"/>
    <n v="50.51"/>
    <n v="1471"/>
    <n v="1"/>
  </r>
  <r>
    <x v="2"/>
    <x v="1"/>
    <x v="1"/>
    <n v="5739.12"/>
    <n v="764639.66"/>
    <n v="37.07"/>
    <n v="35.479999999999997"/>
    <n v="1332"/>
    <n v="2"/>
  </r>
  <r>
    <x v="2"/>
    <x v="2"/>
    <x v="2"/>
    <n v="1075.0899999999999"/>
    <n v="118004.06"/>
    <n v="6.94"/>
    <n v="5.48"/>
    <n v="1098"/>
    <n v="3"/>
  </r>
  <r>
    <x v="2"/>
    <x v="4"/>
    <x v="3"/>
    <n v="152.94999999999999"/>
    <n v="8806.4500000000007"/>
    <n v="0.99"/>
    <n v="0.41"/>
    <n v="576"/>
    <n v="4"/>
  </r>
  <r>
    <x v="2"/>
    <x v="3"/>
    <x v="3"/>
    <n v="138.24"/>
    <n v="50560.480000000003"/>
    <n v="0.89"/>
    <n v="2.35"/>
    <n v="3657"/>
    <n v="5"/>
  </r>
  <r>
    <x v="2"/>
    <x v="5"/>
    <x v="3"/>
    <n v="130.36000000000001"/>
    <n v="6337.84"/>
    <n v="0.84"/>
    <n v="0.28999999999999998"/>
    <n v="486"/>
    <n v="6"/>
  </r>
  <r>
    <x v="2"/>
    <x v="14"/>
    <x v="3"/>
    <n v="78.489999999999995"/>
    <n v="3130.1"/>
    <n v="0.51"/>
    <n v="0.15"/>
    <n v="399"/>
    <n v="7"/>
  </r>
  <r>
    <x v="2"/>
    <x v="6"/>
    <x v="3"/>
    <n v="71.599999999999994"/>
    <n v="7914.87"/>
    <n v="0.46"/>
    <n v="0.37"/>
    <n v="1105"/>
    <n v="8"/>
  </r>
  <r>
    <x v="2"/>
    <x v="7"/>
    <x v="3"/>
    <n v="67.41"/>
    <n v="777.46"/>
    <n v="0.44"/>
    <n v="0.04"/>
    <n v="115"/>
    <n v="9"/>
  </r>
  <r>
    <x v="2"/>
    <x v="8"/>
    <x v="3"/>
    <n v="53.71"/>
    <n v="21498.14"/>
    <n v="0.35"/>
    <n v="1"/>
    <n v="4003"/>
    <n v="10"/>
  </r>
  <r>
    <x v="2"/>
    <x v="9"/>
    <x v="3"/>
    <n v="51.76"/>
    <n v="3890.1"/>
    <n v="0.33"/>
    <n v="0.18"/>
    <n v="752"/>
    <n v="11"/>
  </r>
  <r>
    <x v="2"/>
    <x v="10"/>
    <x v="3"/>
    <n v="47.35"/>
    <n v="6583.09"/>
    <n v="0.31"/>
    <n v="0.31"/>
    <n v="1390"/>
    <n v="12"/>
  </r>
  <r>
    <x v="2"/>
    <x v="11"/>
    <x v="3"/>
    <n v="36.840000000000003"/>
    <n v="10417.27"/>
    <n v="0.24"/>
    <n v="0.48"/>
    <n v="2828"/>
    <n v="13"/>
  </r>
  <r>
    <x v="2"/>
    <x v="12"/>
    <x v="3"/>
    <n v="35.69"/>
    <n v="9215.09"/>
    <n v="0.23"/>
    <n v="0.43"/>
    <n v="2582"/>
    <n v="14"/>
  </r>
  <r>
    <x v="2"/>
    <x v="13"/>
    <x v="3"/>
    <n v="27.05"/>
    <n v="8210.65"/>
    <n v="0.17"/>
    <n v="0.38"/>
    <n v="3035"/>
    <n v="15"/>
  </r>
  <r>
    <x v="2"/>
    <x v="15"/>
    <x v="3"/>
    <n v="18.600000000000001"/>
    <n v="1389.73"/>
    <n v="0.12"/>
    <n v="0.06"/>
    <n v="747"/>
    <n v="16"/>
  </r>
  <r>
    <x v="2"/>
    <x v="16"/>
    <x v="3"/>
    <n v="16.63"/>
    <n v="2942.38"/>
    <n v="0.11"/>
    <n v="0.14000000000000001"/>
    <n v="1769"/>
    <n v="17"/>
  </r>
  <r>
    <x v="2"/>
    <x v="18"/>
    <x v="3"/>
    <n v="13.25"/>
    <n v="636.91"/>
    <n v="0.09"/>
    <n v="0.03"/>
    <n v="481"/>
    <n v="18"/>
  </r>
  <r>
    <x v="2"/>
    <x v="17"/>
    <x v="3"/>
    <n v="13.22"/>
    <n v="8479.8700000000008"/>
    <n v="0.09"/>
    <n v="0.39"/>
    <n v="6414"/>
    <n v="19"/>
  </r>
  <r>
    <x v="2"/>
    <x v="20"/>
    <x v="3"/>
    <n v="11.54"/>
    <n v="845.13"/>
    <n v="7.0000000000000007E-2"/>
    <n v="0.04"/>
    <n v="732"/>
    <n v="20"/>
  </r>
  <r>
    <x v="2"/>
    <x v="21"/>
    <x v="3"/>
    <n v="10.46"/>
    <n v="3035.13"/>
    <n v="7.0000000000000007E-2"/>
    <n v="0.14000000000000001"/>
    <n v="2902"/>
    <n v="21"/>
  </r>
  <r>
    <x v="2"/>
    <x v="24"/>
    <x v="3"/>
    <n v="8.91"/>
    <n v="1131.95"/>
    <n v="0.06"/>
    <n v="0.05"/>
    <n v="1270"/>
    <n v="22"/>
  </r>
  <r>
    <x v="2"/>
    <x v="22"/>
    <x v="3"/>
    <n v="8.6"/>
    <n v="1932.32"/>
    <n v="0.06"/>
    <n v="0.09"/>
    <n v="2247"/>
    <n v="23"/>
  </r>
  <r>
    <x v="2"/>
    <x v="19"/>
    <x v="3"/>
    <n v="8.1"/>
    <n v="1584.15"/>
    <n v="0.05"/>
    <n v="7.0000000000000007E-2"/>
    <n v="1956"/>
    <n v="24"/>
  </r>
  <r>
    <x v="2"/>
    <x v="23"/>
    <x v="3"/>
    <n v="7.9"/>
    <n v="578.99"/>
    <n v="0.05"/>
    <n v="0.03"/>
    <n v="733"/>
    <n v="25"/>
  </r>
  <r>
    <x v="2"/>
    <x v="26"/>
    <x v="3"/>
    <n v="6.02"/>
    <n v="825.36"/>
    <n v="0.04"/>
    <n v="0.04"/>
    <n v="1371"/>
    <n v="26"/>
  </r>
  <r>
    <x v="2"/>
    <x v="34"/>
    <x v="3"/>
    <n v="5.03"/>
    <n v="914.28"/>
    <n v="0.03"/>
    <n v="0.04"/>
    <n v="1818"/>
    <n v="27"/>
  </r>
  <r>
    <x v="2"/>
    <x v="32"/>
    <x v="3"/>
    <n v="4"/>
    <n v="267.14999999999998"/>
    <n v="0.03"/>
    <n v="0.01"/>
    <n v="668"/>
    <n v="28"/>
  </r>
  <r>
    <x v="2"/>
    <x v="25"/>
    <x v="3"/>
    <n v="3.36"/>
    <n v="578.23"/>
    <n v="0.02"/>
    <n v="0.03"/>
    <n v="1721"/>
    <n v="29"/>
  </r>
  <r>
    <x v="2"/>
    <x v="30"/>
    <x v="3"/>
    <n v="3.31"/>
    <n v="753.1"/>
    <n v="0.02"/>
    <n v="0.03"/>
    <n v="2275"/>
    <n v="30"/>
  </r>
  <r>
    <x v="2"/>
    <x v="29"/>
    <x v="3"/>
    <n v="3.18"/>
    <n v="263.81"/>
    <n v="0.02"/>
    <n v="0.01"/>
    <n v="830"/>
    <n v="31"/>
  </r>
  <r>
    <x v="2"/>
    <x v="75"/>
    <x v="3"/>
    <n v="3.07"/>
    <n v="373.29"/>
    <n v="0.02"/>
    <n v="0.02"/>
    <n v="1216"/>
    <n v="32"/>
  </r>
  <r>
    <x v="2"/>
    <x v="28"/>
    <x v="3"/>
    <n v="3.01"/>
    <n v="802.16"/>
    <n v="0.02"/>
    <n v="0.04"/>
    <n v="2665"/>
    <n v="33"/>
  </r>
  <r>
    <x v="2"/>
    <x v="27"/>
    <x v="3"/>
    <n v="2.68"/>
    <n v="401.03"/>
    <n v="0.02"/>
    <n v="0.02"/>
    <n v="1496"/>
    <n v="34"/>
  </r>
  <r>
    <x v="2"/>
    <x v="31"/>
    <x v="3"/>
    <n v="2.19"/>
    <n v="410.19"/>
    <n v="0.01"/>
    <n v="0.02"/>
    <n v="1873"/>
    <n v="35"/>
  </r>
  <r>
    <x v="2"/>
    <x v="33"/>
    <x v="3"/>
    <n v="1.72"/>
    <n v="19.88"/>
    <n v="0.01"/>
    <n v="0"/>
    <n v="116"/>
    <n v="36"/>
  </r>
  <r>
    <x v="2"/>
    <x v="35"/>
    <x v="3"/>
    <n v="1.35"/>
    <n v="100.86"/>
    <n v="0.01"/>
    <n v="0"/>
    <n v="747"/>
    <n v="37"/>
  </r>
  <r>
    <x v="2"/>
    <x v="37"/>
    <x v="3"/>
    <n v="1.06"/>
    <n v="197.17"/>
    <n v="0.01"/>
    <n v="0.01"/>
    <n v="1860"/>
    <n v="38"/>
  </r>
  <r>
    <x v="2"/>
    <x v="36"/>
    <x v="3"/>
    <n v="1.01"/>
    <n v="389.1"/>
    <n v="0.01"/>
    <n v="0.02"/>
    <n v="3852"/>
    <n v="39"/>
  </r>
  <r>
    <x v="2"/>
    <x v="38"/>
    <x v="3"/>
    <n v="0.79"/>
    <n v="135.44"/>
    <n v="0.01"/>
    <n v="0.01"/>
    <n v="1714"/>
    <n v="40"/>
  </r>
  <r>
    <x v="2"/>
    <x v="40"/>
    <x v="3"/>
    <n v="0.73"/>
    <n v="238.56"/>
    <n v="0"/>
    <n v="0.01"/>
    <n v="3268"/>
    <n v="41"/>
  </r>
  <r>
    <x v="2"/>
    <x v="49"/>
    <x v="3"/>
    <n v="0.69"/>
    <n v="106.42"/>
    <n v="0"/>
    <n v="0"/>
    <n v="1542"/>
    <n v="42"/>
  </r>
  <r>
    <x v="2"/>
    <x v="43"/>
    <x v="3"/>
    <n v="0.68"/>
    <n v="176.45"/>
    <n v="0"/>
    <n v="0.01"/>
    <n v="2595"/>
    <n v="43"/>
  </r>
  <r>
    <x v="2"/>
    <x v="39"/>
    <x v="3"/>
    <n v="0.66"/>
    <n v="30.09"/>
    <n v="0"/>
    <n v="0"/>
    <n v="456"/>
    <n v="44"/>
  </r>
  <r>
    <x v="2"/>
    <x v="41"/>
    <x v="3"/>
    <n v="0.59"/>
    <n v="167.92"/>
    <n v="0"/>
    <n v="0.01"/>
    <n v="2846"/>
    <n v="45"/>
  </r>
  <r>
    <x v="2"/>
    <x v="42"/>
    <x v="3"/>
    <n v="0.56999999999999995"/>
    <n v="191.73"/>
    <n v="0"/>
    <n v="0.01"/>
    <n v="3364"/>
    <n v="46"/>
  </r>
  <r>
    <x v="2"/>
    <x v="44"/>
    <x v="3"/>
    <n v="0.51"/>
    <n v="64.81"/>
    <n v="0"/>
    <n v="0"/>
    <n v="1271"/>
    <n v="47"/>
  </r>
  <r>
    <x v="2"/>
    <x v="46"/>
    <x v="3"/>
    <n v="0.46"/>
    <n v="156.43"/>
    <n v="0"/>
    <n v="0.01"/>
    <n v="3401"/>
    <n v="48"/>
  </r>
  <r>
    <x v="2"/>
    <x v="45"/>
    <x v="3"/>
    <n v="0.45"/>
    <n v="134.47"/>
    <n v="0"/>
    <n v="0.01"/>
    <n v="2988"/>
    <n v="49"/>
  </r>
  <r>
    <x v="2"/>
    <x v="48"/>
    <x v="3"/>
    <n v="0.38"/>
    <n v="39.72"/>
    <n v="0"/>
    <n v="0"/>
    <n v="1045"/>
    <n v="50"/>
  </r>
  <r>
    <x v="2"/>
    <x v="47"/>
    <x v="3"/>
    <n v="0.36"/>
    <n v="92.32"/>
    <n v="0"/>
    <n v="0"/>
    <n v="2564"/>
    <n v="51"/>
  </r>
  <r>
    <x v="2"/>
    <x v="67"/>
    <x v="3"/>
    <n v="0.36"/>
    <n v="356.22"/>
    <n v="0"/>
    <n v="0.02"/>
    <n v="9895"/>
    <n v="51"/>
  </r>
  <r>
    <x v="2"/>
    <x v="52"/>
    <x v="3"/>
    <n v="0.3"/>
    <n v="78.83"/>
    <n v="0"/>
    <n v="0"/>
    <n v="2628"/>
    <n v="53"/>
  </r>
  <r>
    <x v="2"/>
    <x v="66"/>
    <x v="3"/>
    <n v="0.28999999999999998"/>
    <n v="33.18"/>
    <n v="0"/>
    <n v="0"/>
    <n v="1144"/>
    <n v="54"/>
  </r>
  <r>
    <x v="2"/>
    <x v="51"/>
    <x v="3"/>
    <n v="0.28000000000000003"/>
    <n v="66.319999999999993"/>
    <n v="0"/>
    <n v="0"/>
    <n v="2369"/>
    <n v="55"/>
  </r>
  <r>
    <x v="2"/>
    <x v="56"/>
    <x v="3"/>
    <n v="0.2"/>
    <n v="55.8"/>
    <n v="0"/>
    <n v="0"/>
    <n v="2790"/>
    <n v="56"/>
  </r>
  <r>
    <x v="2"/>
    <x v="54"/>
    <x v="3"/>
    <n v="0.18"/>
    <n v="114.58"/>
    <n v="0"/>
    <n v="0.01"/>
    <n v="6366"/>
    <n v="57"/>
  </r>
  <r>
    <x v="2"/>
    <x v="53"/>
    <x v="3"/>
    <n v="0.18"/>
    <n v="49.21"/>
    <n v="0"/>
    <n v="0"/>
    <n v="2734"/>
    <n v="57"/>
  </r>
  <r>
    <x v="2"/>
    <x v="55"/>
    <x v="3"/>
    <n v="0.18"/>
    <n v="38.31"/>
    <n v="0"/>
    <n v="0"/>
    <n v="2128"/>
    <n v="57"/>
  </r>
  <r>
    <x v="2"/>
    <x v="57"/>
    <x v="3"/>
    <n v="0.13"/>
    <n v="13.25"/>
    <n v="0"/>
    <n v="0"/>
    <n v="1019"/>
    <n v="60"/>
  </r>
  <r>
    <x v="2"/>
    <x v="76"/>
    <x v="3"/>
    <n v="0.12"/>
    <n v="14.69"/>
    <n v="0"/>
    <n v="0"/>
    <n v="1224"/>
    <n v="61"/>
  </r>
  <r>
    <x v="2"/>
    <x v="59"/>
    <x v="3"/>
    <n v="0.09"/>
    <n v="52.41"/>
    <n v="0"/>
    <n v="0"/>
    <n v="5823"/>
    <n v="62"/>
  </r>
  <r>
    <x v="2"/>
    <x v="64"/>
    <x v="3"/>
    <n v="0.09"/>
    <n v="11.7"/>
    <n v="0"/>
    <n v="0"/>
    <n v="1300"/>
    <n v="62"/>
  </r>
  <r>
    <x v="2"/>
    <x v="50"/>
    <x v="3"/>
    <n v="0.08"/>
    <n v="0.23"/>
    <n v="0"/>
    <n v="0"/>
    <n v="29"/>
    <n v="64"/>
  </r>
  <r>
    <x v="2"/>
    <x v="60"/>
    <x v="3"/>
    <n v="0.08"/>
    <n v="30.01"/>
    <n v="0"/>
    <n v="0"/>
    <n v="3751"/>
    <n v="64"/>
  </r>
  <r>
    <x v="2"/>
    <x v="58"/>
    <x v="3"/>
    <n v="0.08"/>
    <n v="5.71"/>
    <n v="0"/>
    <n v="0"/>
    <n v="714"/>
    <n v="64"/>
  </r>
  <r>
    <x v="2"/>
    <x v="61"/>
    <x v="3"/>
    <n v="0.08"/>
    <n v="9.73"/>
    <n v="0"/>
    <n v="0"/>
    <n v="1216"/>
    <n v="64"/>
  </r>
  <r>
    <x v="2"/>
    <x v="62"/>
    <x v="3"/>
    <n v="7.0000000000000007E-2"/>
    <n v="26.24"/>
    <n v="0"/>
    <n v="0"/>
    <n v="3749"/>
    <n v="68"/>
  </r>
  <r>
    <x v="2"/>
    <x v="65"/>
    <x v="3"/>
    <n v="7.0000000000000007E-2"/>
    <n v="8.2899999999999991"/>
    <n v="0"/>
    <n v="0"/>
    <n v="1184"/>
    <n v="68"/>
  </r>
  <r>
    <x v="2"/>
    <x v="63"/>
    <x v="3"/>
    <n v="7.0000000000000007E-2"/>
    <n v="23.33"/>
    <n v="0"/>
    <n v="0"/>
    <n v="3333"/>
    <n v="68"/>
  </r>
  <r>
    <x v="2"/>
    <x v="69"/>
    <x v="3"/>
    <n v="7.0000000000000007E-2"/>
    <n v="3.75"/>
    <n v="0"/>
    <n v="0"/>
    <n v="536"/>
    <n v="68"/>
  </r>
  <r>
    <x v="2"/>
    <x v="78"/>
    <x v="3"/>
    <n v="0.06"/>
    <n v="22.84"/>
    <n v="0"/>
    <n v="0"/>
    <n v="3807"/>
    <n v="72"/>
  </r>
  <r>
    <x v="2"/>
    <x v="68"/>
    <x v="3"/>
    <n v="0.05"/>
    <n v="17.82"/>
    <n v="0"/>
    <n v="0"/>
    <n v="3564"/>
    <n v="73"/>
  </r>
  <r>
    <x v="2"/>
    <x v="72"/>
    <x v="3"/>
    <n v="0.03"/>
    <n v="25.69"/>
    <n v="0"/>
    <n v="0"/>
    <n v="8563"/>
    <n v="74"/>
  </r>
  <r>
    <x v="2"/>
    <x v="70"/>
    <x v="3"/>
    <n v="0.03"/>
    <n v="1.8"/>
    <n v="0"/>
    <n v="0"/>
    <n v="600"/>
    <n v="74"/>
  </r>
  <r>
    <x v="2"/>
    <x v="77"/>
    <x v="3"/>
    <n v="0.03"/>
    <n v="1.84"/>
    <n v="0"/>
    <n v="0"/>
    <n v="613"/>
    <n v="74"/>
  </r>
  <r>
    <x v="2"/>
    <x v="79"/>
    <x v="3"/>
    <n v="0.02"/>
    <n v="2.77"/>
    <n v="0"/>
    <n v="0"/>
    <n v="1385"/>
    <n v="77"/>
  </r>
  <r>
    <x v="2"/>
    <x v="71"/>
    <x v="3"/>
    <n v="0.02"/>
    <n v="10.76"/>
    <n v="0"/>
    <n v="0"/>
    <n v="5380"/>
    <n v="77"/>
  </r>
  <r>
    <x v="2"/>
    <x v="80"/>
    <x v="3"/>
    <n v="0.02"/>
    <n v="2.73"/>
    <n v="0"/>
    <n v="0"/>
    <n v="1365"/>
    <n v="77"/>
  </r>
  <r>
    <x v="2"/>
    <x v="81"/>
    <x v="3"/>
    <n v="0.02"/>
    <n v="2.67"/>
    <n v="0"/>
    <n v="0"/>
    <n v="1335"/>
    <n v="77"/>
  </r>
  <r>
    <x v="3"/>
    <x v="0"/>
    <x v="0"/>
    <n v="7984.05"/>
    <n v="1176300.32"/>
    <n v="47.72"/>
    <n v="50.6"/>
    <n v="1473"/>
    <n v="1"/>
  </r>
  <r>
    <x v="3"/>
    <x v="1"/>
    <x v="1"/>
    <n v="6140.47"/>
    <n v="822598.36"/>
    <n v="36.700000000000003"/>
    <n v="35.39"/>
    <n v="1340"/>
    <n v="2"/>
  </r>
  <r>
    <x v="3"/>
    <x v="2"/>
    <x v="2"/>
    <n v="1150.96"/>
    <n v="125739.66"/>
    <n v="6.88"/>
    <n v="5.41"/>
    <n v="1092"/>
    <n v="3"/>
  </r>
  <r>
    <x v="3"/>
    <x v="4"/>
    <x v="3"/>
    <n v="202.53"/>
    <n v="11317.09"/>
    <n v="1.21"/>
    <n v="0.49"/>
    <n v="559"/>
    <n v="4"/>
  </r>
  <r>
    <x v="3"/>
    <x v="3"/>
    <x v="3"/>
    <n v="143.07"/>
    <n v="50979.94"/>
    <n v="0.86"/>
    <n v="2.19"/>
    <n v="3563"/>
    <n v="5"/>
  </r>
  <r>
    <x v="3"/>
    <x v="5"/>
    <x v="3"/>
    <n v="128.36000000000001"/>
    <n v="6159.9"/>
    <n v="0.77"/>
    <n v="0.26"/>
    <n v="480"/>
    <n v="6"/>
  </r>
  <r>
    <x v="3"/>
    <x v="14"/>
    <x v="3"/>
    <n v="101.81"/>
    <n v="3866.39"/>
    <n v="0.61"/>
    <n v="0.17"/>
    <n v="380"/>
    <n v="7"/>
  </r>
  <r>
    <x v="3"/>
    <x v="6"/>
    <x v="3"/>
    <n v="91.94"/>
    <n v="9330.9699999999993"/>
    <n v="0.55000000000000004"/>
    <n v="0.4"/>
    <n v="1015"/>
    <n v="8"/>
  </r>
  <r>
    <x v="3"/>
    <x v="7"/>
    <x v="3"/>
    <n v="75.739999999999995"/>
    <n v="870.68"/>
    <n v="0.45"/>
    <n v="0.04"/>
    <n v="115"/>
    <n v="9"/>
  </r>
  <r>
    <x v="3"/>
    <x v="8"/>
    <x v="3"/>
    <n v="61.86"/>
    <n v="21904.55"/>
    <n v="0.37"/>
    <n v="0.94"/>
    <n v="3541"/>
    <n v="10"/>
  </r>
  <r>
    <x v="3"/>
    <x v="9"/>
    <x v="3"/>
    <n v="57.85"/>
    <n v="4348.1899999999996"/>
    <n v="0.35"/>
    <n v="0.19"/>
    <n v="752"/>
    <n v="11"/>
  </r>
  <r>
    <x v="3"/>
    <x v="10"/>
    <x v="3"/>
    <n v="52.06"/>
    <n v="7286.24"/>
    <n v="0.31"/>
    <n v="0.31"/>
    <n v="1400"/>
    <n v="12"/>
  </r>
  <r>
    <x v="3"/>
    <x v="11"/>
    <x v="3"/>
    <n v="41.84"/>
    <n v="12526.57"/>
    <n v="0.25"/>
    <n v="0.54"/>
    <n v="2994"/>
    <n v="13"/>
  </r>
  <r>
    <x v="3"/>
    <x v="12"/>
    <x v="3"/>
    <n v="40.98"/>
    <n v="9216.9599999999991"/>
    <n v="0.24"/>
    <n v="0.4"/>
    <n v="2249"/>
    <n v="14"/>
  </r>
  <r>
    <x v="3"/>
    <x v="13"/>
    <x v="3"/>
    <n v="30.22"/>
    <n v="9170.75"/>
    <n v="0.18"/>
    <n v="0.39"/>
    <n v="3035"/>
    <n v="15"/>
  </r>
  <r>
    <x v="3"/>
    <x v="15"/>
    <x v="3"/>
    <n v="20.29"/>
    <n v="1497.32"/>
    <n v="0.12"/>
    <n v="0.06"/>
    <n v="738"/>
    <n v="16"/>
  </r>
  <r>
    <x v="3"/>
    <x v="16"/>
    <x v="3"/>
    <n v="20.260000000000002"/>
    <n v="3478.58"/>
    <n v="0.12"/>
    <n v="0.15"/>
    <n v="1717"/>
    <n v="17"/>
  </r>
  <r>
    <x v="3"/>
    <x v="17"/>
    <x v="3"/>
    <n v="13.78"/>
    <n v="9341.27"/>
    <n v="0.08"/>
    <n v="0.4"/>
    <n v="6779"/>
    <n v="18"/>
  </r>
  <r>
    <x v="3"/>
    <x v="18"/>
    <x v="3"/>
    <n v="12.75"/>
    <n v="606.35"/>
    <n v="0.08"/>
    <n v="0.03"/>
    <n v="476"/>
    <n v="19"/>
  </r>
  <r>
    <x v="3"/>
    <x v="20"/>
    <x v="3"/>
    <n v="12.06"/>
    <n v="882.04"/>
    <n v="7.0000000000000007E-2"/>
    <n v="0.04"/>
    <n v="731"/>
    <n v="20"/>
  </r>
  <r>
    <x v="3"/>
    <x v="21"/>
    <x v="3"/>
    <n v="12.05"/>
    <n v="3411.38"/>
    <n v="7.0000000000000007E-2"/>
    <n v="0.15"/>
    <n v="2831"/>
    <n v="21"/>
  </r>
  <r>
    <x v="3"/>
    <x v="24"/>
    <x v="3"/>
    <n v="10.76"/>
    <n v="1337.1"/>
    <n v="0.06"/>
    <n v="0.06"/>
    <n v="1243"/>
    <n v="22"/>
  </r>
  <r>
    <x v="3"/>
    <x v="22"/>
    <x v="3"/>
    <n v="9.27"/>
    <n v="2103.6"/>
    <n v="0.06"/>
    <n v="0.09"/>
    <n v="2269"/>
    <n v="23"/>
  </r>
  <r>
    <x v="3"/>
    <x v="23"/>
    <x v="3"/>
    <n v="8.59"/>
    <n v="614.74"/>
    <n v="0.05"/>
    <n v="0.03"/>
    <n v="716"/>
    <n v="24"/>
  </r>
  <r>
    <x v="3"/>
    <x v="19"/>
    <x v="3"/>
    <n v="8.5500000000000007"/>
    <n v="1652.53"/>
    <n v="0.05"/>
    <n v="7.0000000000000007E-2"/>
    <n v="1933"/>
    <n v="25"/>
  </r>
  <r>
    <x v="3"/>
    <x v="34"/>
    <x v="3"/>
    <n v="8.3699999999999992"/>
    <n v="1511.43"/>
    <n v="0.05"/>
    <n v="7.0000000000000007E-2"/>
    <n v="1806"/>
    <n v="26"/>
  </r>
  <r>
    <x v="3"/>
    <x v="26"/>
    <x v="3"/>
    <n v="6.41"/>
    <n v="910.03"/>
    <n v="0.04"/>
    <n v="0.04"/>
    <n v="1420"/>
    <n v="27"/>
  </r>
  <r>
    <x v="3"/>
    <x v="32"/>
    <x v="3"/>
    <n v="6.2"/>
    <n v="391.63"/>
    <n v="0.04"/>
    <n v="0.02"/>
    <n v="632"/>
    <n v="28"/>
  </r>
  <r>
    <x v="3"/>
    <x v="25"/>
    <x v="3"/>
    <n v="3.94"/>
    <n v="673.09"/>
    <n v="0.02"/>
    <n v="0.03"/>
    <n v="1708"/>
    <n v="29"/>
  </r>
  <r>
    <x v="3"/>
    <x v="29"/>
    <x v="3"/>
    <n v="3.46"/>
    <n v="287.81"/>
    <n v="0.02"/>
    <n v="0.01"/>
    <n v="832"/>
    <n v="30"/>
  </r>
  <r>
    <x v="3"/>
    <x v="27"/>
    <x v="3"/>
    <n v="3.37"/>
    <n v="296.88"/>
    <n v="0.02"/>
    <n v="0.01"/>
    <n v="881"/>
    <n v="31"/>
  </r>
  <r>
    <x v="3"/>
    <x v="30"/>
    <x v="3"/>
    <n v="3.32"/>
    <n v="792.81"/>
    <n v="0.02"/>
    <n v="0.03"/>
    <n v="2388"/>
    <n v="32"/>
  </r>
  <r>
    <x v="3"/>
    <x v="75"/>
    <x v="3"/>
    <n v="3.32"/>
    <n v="412.1"/>
    <n v="0.02"/>
    <n v="0.02"/>
    <n v="1241"/>
    <n v="32"/>
  </r>
  <r>
    <x v="3"/>
    <x v="28"/>
    <x v="3"/>
    <n v="3.2"/>
    <n v="848.14"/>
    <n v="0.02"/>
    <n v="0.04"/>
    <n v="2650"/>
    <n v="34"/>
  </r>
  <r>
    <x v="3"/>
    <x v="31"/>
    <x v="3"/>
    <n v="2.21"/>
    <n v="435.17"/>
    <n v="0.01"/>
    <n v="0.02"/>
    <n v="1969"/>
    <n v="35"/>
  </r>
  <r>
    <x v="3"/>
    <x v="35"/>
    <x v="3"/>
    <n v="1.45"/>
    <n v="85.46"/>
    <n v="0.01"/>
    <n v="0"/>
    <n v="589"/>
    <n v="36"/>
  </r>
  <r>
    <x v="3"/>
    <x v="37"/>
    <x v="3"/>
    <n v="1.25"/>
    <n v="221.54"/>
    <n v="0.01"/>
    <n v="0.01"/>
    <n v="1772"/>
    <n v="37"/>
  </r>
  <r>
    <x v="3"/>
    <x v="38"/>
    <x v="3"/>
    <n v="1.1299999999999999"/>
    <n v="169.43"/>
    <n v="0.01"/>
    <n v="0.01"/>
    <n v="1499"/>
    <n v="38"/>
  </r>
  <r>
    <x v="3"/>
    <x v="36"/>
    <x v="3"/>
    <n v="1.1200000000000001"/>
    <n v="431.5"/>
    <n v="0.01"/>
    <n v="0.02"/>
    <n v="3853"/>
    <n v="39"/>
  </r>
  <r>
    <x v="3"/>
    <x v="42"/>
    <x v="3"/>
    <n v="1.07"/>
    <n v="219.66"/>
    <n v="0.01"/>
    <n v="0.01"/>
    <n v="2053"/>
    <n v="40"/>
  </r>
  <r>
    <x v="3"/>
    <x v="33"/>
    <x v="3"/>
    <n v="1.01"/>
    <n v="13.49"/>
    <n v="0.01"/>
    <n v="0"/>
    <n v="134"/>
    <n v="41"/>
  </r>
  <r>
    <x v="3"/>
    <x v="50"/>
    <x v="3"/>
    <n v="0.9"/>
    <n v="86.33"/>
    <n v="0.01"/>
    <n v="0"/>
    <n v="959"/>
    <n v="42"/>
  </r>
  <r>
    <x v="3"/>
    <x v="39"/>
    <x v="3"/>
    <n v="0.83"/>
    <n v="37.24"/>
    <n v="0"/>
    <n v="0"/>
    <n v="449"/>
    <n v="43"/>
  </r>
  <r>
    <x v="3"/>
    <x v="49"/>
    <x v="3"/>
    <n v="0.81"/>
    <n v="134.02000000000001"/>
    <n v="0"/>
    <n v="0.01"/>
    <n v="1655"/>
    <n v="44"/>
  </r>
  <r>
    <x v="3"/>
    <x v="40"/>
    <x v="3"/>
    <n v="0.76"/>
    <n v="255.63"/>
    <n v="0"/>
    <n v="0.01"/>
    <n v="3364"/>
    <n v="45"/>
  </r>
  <r>
    <x v="3"/>
    <x v="43"/>
    <x v="3"/>
    <n v="0.74"/>
    <n v="195.01"/>
    <n v="0"/>
    <n v="0.01"/>
    <n v="2635"/>
    <n v="46"/>
  </r>
  <r>
    <x v="3"/>
    <x v="41"/>
    <x v="3"/>
    <n v="0.63"/>
    <n v="181.57"/>
    <n v="0"/>
    <n v="0.01"/>
    <n v="2882"/>
    <n v="47"/>
  </r>
  <r>
    <x v="3"/>
    <x v="48"/>
    <x v="3"/>
    <n v="0.61"/>
    <n v="57.11"/>
    <n v="0"/>
    <n v="0"/>
    <n v="936"/>
    <n v="48"/>
  </r>
  <r>
    <x v="3"/>
    <x v="46"/>
    <x v="3"/>
    <n v="0.56000000000000005"/>
    <n v="170.77"/>
    <n v="0"/>
    <n v="0.01"/>
    <n v="3049"/>
    <n v="49"/>
  </r>
  <r>
    <x v="3"/>
    <x v="44"/>
    <x v="3"/>
    <n v="0.55000000000000004"/>
    <n v="72.040000000000006"/>
    <n v="0"/>
    <n v="0"/>
    <n v="1310"/>
    <n v="50"/>
  </r>
  <r>
    <x v="3"/>
    <x v="67"/>
    <x v="3"/>
    <n v="0.5"/>
    <n v="549.1"/>
    <n v="0"/>
    <n v="0.02"/>
    <n v="10982"/>
    <n v="51"/>
  </r>
  <r>
    <x v="3"/>
    <x v="45"/>
    <x v="3"/>
    <n v="0.49"/>
    <n v="151.24"/>
    <n v="0"/>
    <n v="0.01"/>
    <n v="3087"/>
    <n v="52"/>
  </r>
  <r>
    <x v="3"/>
    <x v="66"/>
    <x v="3"/>
    <n v="0.41"/>
    <n v="21.49"/>
    <n v="0"/>
    <n v="0"/>
    <n v="524"/>
    <n v="53"/>
  </r>
  <r>
    <x v="3"/>
    <x v="47"/>
    <x v="3"/>
    <n v="0.34"/>
    <n v="87.05"/>
    <n v="0"/>
    <n v="0"/>
    <n v="2560"/>
    <n v="54"/>
  </r>
  <r>
    <x v="3"/>
    <x v="51"/>
    <x v="3"/>
    <n v="0.32"/>
    <n v="76.33"/>
    <n v="0"/>
    <n v="0"/>
    <n v="2385"/>
    <n v="55"/>
  </r>
  <r>
    <x v="3"/>
    <x v="52"/>
    <x v="3"/>
    <n v="0.3"/>
    <n v="81.2"/>
    <n v="0"/>
    <n v="0"/>
    <n v="2707"/>
    <n v="56"/>
  </r>
  <r>
    <x v="3"/>
    <x v="53"/>
    <x v="3"/>
    <n v="0.23"/>
    <n v="59.7"/>
    <n v="0"/>
    <n v="0"/>
    <n v="2596"/>
    <n v="57"/>
  </r>
  <r>
    <x v="3"/>
    <x v="56"/>
    <x v="3"/>
    <n v="0.22"/>
    <n v="68.38"/>
    <n v="0"/>
    <n v="0"/>
    <n v="3108"/>
    <n v="58"/>
  </r>
  <r>
    <x v="3"/>
    <x v="55"/>
    <x v="3"/>
    <n v="0.22"/>
    <n v="47.38"/>
    <n v="0"/>
    <n v="0"/>
    <n v="2154"/>
    <n v="58"/>
  </r>
  <r>
    <x v="3"/>
    <x v="54"/>
    <x v="3"/>
    <n v="0.2"/>
    <n v="123.19"/>
    <n v="0"/>
    <n v="0.01"/>
    <n v="6160"/>
    <n v="60"/>
  </r>
  <r>
    <x v="3"/>
    <x v="76"/>
    <x v="3"/>
    <n v="0.19"/>
    <n v="20.5"/>
    <n v="0"/>
    <n v="0"/>
    <n v="1079"/>
    <n v="61"/>
  </r>
  <r>
    <x v="3"/>
    <x v="57"/>
    <x v="3"/>
    <n v="0.14000000000000001"/>
    <n v="12.18"/>
    <n v="0"/>
    <n v="0"/>
    <n v="870"/>
    <n v="62"/>
  </r>
  <r>
    <x v="3"/>
    <x v="65"/>
    <x v="3"/>
    <n v="0.11"/>
    <n v="13.25"/>
    <n v="0"/>
    <n v="0"/>
    <n v="1205"/>
    <n v="63"/>
  </r>
  <r>
    <x v="3"/>
    <x v="64"/>
    <x v="3"/>
    <n v="0.1"/>
    <n v="12.52"/>
    <n v="0"/>
    <n v="0"/>
    <n v="1252"/>
    <n v="64"/>
  </r>
  <r>
    <x v="3"/>
    <x v="59"/>
    <x v="3"/>
    <n v="0.1"/>
    <n v="56"/>
    <n v="0"/>
    <n v="0"/>
    <n v="5600"/>
    <n v="64"/>
  </r>
  <r>
    <x v="3"/>
    <x v="60"/>
    <x v="3"/>
    <n v="0.1"/>
    <n v="35.31"/>
    <n v="0"/>
    <n v="0"/>
    <n v="3531"/>
    <n v="64"/>
  </r>
  <r>
    <x v="3"/>
    <x v="69"/>
    <x v="3"/>
    <n v="0.1"/>
    <n v="4.8"/>
    <n v="0"/>
    <n v="0"/>
    <n v="480"/>
    <n v="64"/>
  </r>
  <r>
    <x v="3"/>
    <x v="58"/>
    <x v="3"/>
    <n v="0.09"/>
    <n v="6.16"/>
    <n v="0"/>
    <n v="0"/>
    <n v="684"/>
    <n v="68"/>
  </r>
  <r>
    <x v="3"/>
    <x v="82"/>
    <x v="3"/>
    <n v="0.08"/>
    <n v="28.5"/>
    <n v="0"/>
    <n v="0"/>
    <n v="3563"/>
    <n v="69"/>
  </r>
  <r>
    <x v="3"/>
    <x v="62"/>
    <x v="3"/>
    <n v="0.08"/>
    <n v="28.56"/>
    <n v="0"/>
    <n v="0"/>
    <n v="3570"/>
    <n v="69"/>
  </r>
  <r>
    <x v="3"/>
    <x v="63"/>
    <x v="3"/>
    <n v="0.08"/>
    <n v="25.95"/>
    <n v="0"/>
    <n v="0"/>
    <n v="3244"/>
    <n v="69"/>
  </r>
  <r>
    <x v="3"/>
    <x v="68"/>
    <x v="3"/>
    <n v="7.0000000000000007E-2"/>
    <n v="24.98"/>
    <n v="0"/>
    <n v="0"/>
    <n v="3569"/>
    <n v="72"/>
  </r>
  <r>
    <x v="3"/>
    <x v="61"/>
    <x v="3"/>
    <n v="7.0000000000000007E-2"/>
    <n v="8.36"/>
    <n v="0"/>
    <n v="0"/>
    <n v="1194"/>
    <n v="72"/>
  </r>
  <r>
    <x v="3"/>
    <x v="80"/>
    <x v="3"/>
    <n v="0.06"/>
    <n v="5.97"/>
    <n v="0"/>
    <n v="0"/>
    <n v="995"/>
    <n v="74"/>
  </r>
  <r>
    <x v="3"/>
    <x v="79"/>
    <x v="3"/>
    <n v="0.06"/>
    <n v="4.42"/>
    <n v="0"/>
    <n v="0"/>
    <n v="737"/>
    <n v="74"/>
  </r>
  <r>
    <x v="3"/>
    <x v="81"/>
    <x v="3"/>
    <n v="0.05"/>
    <n v="6.27"/>
    <n v="0"/>
    <n v="0"/>
    <n v="1254"/>
    <n v="76"/>
  </r>
  <r>
    <x v="3"/>
    <x v="72"/>
    <x v="3"/>
    <n v="0.04"/>
    <n v="28.67"/>
    <n v="0"/>
    <n v="0"/>
    <n v="7168"/>
    <n v="77"/>
  </r>
  <r>
    <x v="3"/>
    <x v="83"/>
    <x v="3"/>
    <n v="0.04"/>
    <n v="12.79"/>
    <n v="0"/>
    <n v="0"/>
    <n v="3198"/>
    <n v="77"/>
  </r>
  <r>
    <x v="3"/>
    <x v="78"/>
    <x v="3"/>
    <n v="0.03"/>
    <n v="31.68"/>
    <n v="0"/>
    <n v="0"/>
    <n v="10560"/>
    <n v="79"/>
  </r>
  <r>
    <x v="3"/>
    <x v="77"/>
    <x v="3"/>
    <n v="0.03"/>
    <n v="2.4300000000000002"/>
    <n v="0"/>
    <n v="0"/>
    <n v="810"/>
    <n v="79"/>
  </r>
  <r>
    <x v="3"/>
    <x v="70"/>
    <x v="3"/>
    <n v="0.02"/>
    <n v="1.72"/>
    <n v="0"/>
    <n v="0"/>
    <n v="860"/>
    <n v="81"/>
  </r>
  <r>
    <x v="3"/>
    <x v="71"/>
    <x v="3"/>
    <n v="0.02"/>
    <n v="7.78"/>
    <n v="0"/>
    <n v="0"/>
    <n v="3890"/>
    <n v="81"/>
  </r>
  <r>
    <x v="4"/>
    <x v="0"/>
    <x v="0"/>
    <n v="8102.44"/>
    <n v="1191303.98"/>
    <n v="47.67"/>
    <n v="50.74"/>
    <n v="1470"/>
    <n v="1"/>
  </r>
  <r>
    <x v="4"/>
    <x v="1"/>
    <x v="1"/>
    <n v="6183.91"/>
    <n v="826845.07"/>
    <n v="36.380000000000003"/>
    <n v="35.21"/>
    <n v="1337"/>
    <n v="2"/>
  </r>
  <r>
    <x v="4"/>
    <x v="2"/>
    <x v="2"/>
    <n v="1152.3399999999999"/>
    <n v="126313.45"/>
    <n v="6.78"/>
    <n v="5.38"/>
    <n v="1096"/>
    <n v="3"/>
  </r>
  <r>
    <x v="4"/>
    <x v="4"/>
    <x v="3"/>
    <n v="242.83"/>
    <n v="13221.33"/>
    <n v="1.43"/>
    <n v="0.56000000000000005"/>
    <n v="544"/>
    <n v="4"/>
  </r>
  <r>
    <x v="4"/>
    <x v="3"/>
    <x v="3"/>
    <n v="137.44"/>
    <n v="49482.95"/>
    <n v="0.81"/>
    <n v="2.11"/>
    <n v="3600"/>
    <n v="5"/>
  </r>
  <r>
    <x v="4"/>
    <x v="5"/>
    <x v="3"/>
    <n v="126.62"/>
    <n v="7769.17"/>
    <n v="0.74"/>
    <n v="0.33"/>
    <n v="614"/>
    <n v="6"/>
  </r>
  <r>
    <x v="4"/>
    <x v="14"/>
    <x v="3"/>
    <n v="124.83"/>
    <n v="4565.57"/>
    <n v="0.73"/>
    <n v="0.19"/>
    <n v="366"/>
    <n v="7"/>
  </r>
  <r>
    <x v="4"/>
    <x v="6"/>
    <x v="3"/>
    <n v="99.95"/>
    <n v="9843.4699999999993"/>
    <n v="0.59"/>
    <n v="0.42"/>
    <n v="985"/>
    <n v="8"/>
  </r>
  <r>
    <x v="4"/>
    <x v="7"/>
    <x v="3"/>
    <n v="79.010000000000005"/>
    <n v="896.25"/>
    <n v="0.46"/>
    <n v="0.04"/>
    <n v="113"/>
    <n v="9"/>
  </r>
  <r>
    <x v="4"/>
    <x v="9"/>
    <x v="3"/>
    <n v="60.99"/>
    <n v="4550.41"/>
    <n v="0.36"/>
    <n v="0.19"/>
    <n v="746"/>
    <n v="10"/>
  </r>
  <r>
    <x v="4"/>
    <x v="8"/>
    <x v="3"/>
    <n v="58.23"/>
    <n v="18928.62"/>
    <n v="0.34"/>
    <n v="0.81"/>
    <n v="3251"/>
    <n v="11"/>
  </r>
  <r>
    <x v="4"/>
    <x v="10"/>
    <x v="3"/>
    <n v="53.71"/>
    <n v="7489.75"/>
    <n v="0.32"/>
    <n v="0.32"/>
    <n v="1394"/>
    <n v="12"/>
  </r>
  <r>
    <x v="4"/>
    <x v="11"/>
    <x v="3"/>
    <n v="49.6"/>
    <n v="11086.42"/>
    <n v="0.28999999999999998"/>
    <n v="0.47"/>
    <n v="2235"/>
    <n v="13"/>
  </r>
  <r>
    <x v="4"/>
    <x v="12"/>
    <x v="3"/>
    <n v="41.57"/>
    <n v="8877.26"/>
    <n v="0.24"/>
    <n v="0.38"/>
    <n v="2135"/>
    <n v="14"/>
  </r>
  <r>
    <x v="4"/>
    <x v="13"/>
    <x v="3"/>
    <n v="33.880000000000003"/>
    <n v="9333.77"/>
    <n v="0.2"/>
    <n v="0.4"/>
    <n v="2755"/>
    <n v="15"/>
  </r>
  <r>
    <x v="4"/>
    <x v="16"/>
    <x v="3"/>
    <n v="23.66"/>
    <n v="3811.43"/>
    <n v="0.14000000000000001"/>
    <n v="0.16"/>
    <n v="1611"/>
    <n v="16"/>
  </r>
  <r>
    <x v="4"/>
    <x v="15"/>
    <x v="3"/>
    <n v="20.96"/>
    <n v="1498.83"/>
    <n v="0.12"/>
    <n v="0.06"/>
    <n v="715"/>
    <n v="17"/>
  </r>
  <r>
    <x v="4"/>
    <x v="17"/>
    <x v="3"/>
    <n v="15.4"/>
    <n v="11200.31"/>
    <n v="0.09"/>
    <n v="0.48"/>
    <n v="7273"/>
    <n v="18"/>
  </r>
  <r>
    <x v="4"/>
    <x v="24"/>
    <x v="3"/>
    <n v="12.57"/>
    <n v="1509.59"/>
    <n v="7.0000000000000007E-2"/>
    <n v="0.06"/>
    <n v="1201"/>
    <n v="19"/>
  </r>
  <r>
    <x v="4"/>
    <x v="21"/>
    <x v="3"/>
    <n v="12.49"/>
    <n v="3515.63"/>
    <n v="7.0000000000000007E-2"/>
    <n v="0.15"/>
    <n v="2815"/>
    <n v="20"/>
  </r>
  <r>
    <x v="4"/>
    <x v="22"/>
    <x v="3"/>
    <n v="11.77"/>
    <n v="2283.04"/>
    <n v="7.0000000000000007E-2"/>
    <n v="0.1"/>
    <n v="1940"/>
    <n v="21"/>
  </r>
  <r>
    <x v="4"/>
    <x v="34"/>
    <x v="3"/>
    <n v="8.6199999999999992"/>
    <n v="1418.15"/>
    <n v="0.05"/>
    <n v="0.06"/>
    <n v="1645"/>
    <n v="22"/>
  </r>
  <r>
    <x v="4"/>
    <x v="23"/>
    <x v="3"/>
    <n v="8.57"/>
    <n v="608.41"/>
    <n v="0.05"/>
    <n v="0.03"/>
    <n v="710"/>
    <n v="23"/>
  </r>
  <r>
    <x v="4"/>
    <x v="19"/>
    <x v="3"/>
    <n v="8.19"/>
    <n v="1649.36"/>
    <n v="0.05"/>
    <n v="7.0000000000000007E-2"/>
    <n v="2014"/>
    <n v="24"/>
  </r>
  <r>
    <x v="4"/>
    <x v="32"/>
    <x v="3"/>
    <n v="8.1"/>
    <n v="431.96"/>
    <n v="0.05"/>
    <n v="0.02"/>
    <n v="533"/>
    <n v="25"/>
  </r>
  <r>
    <x v="4"/>
    <x v="20"/>
    <x v="3"/>
    <n v="7.88"/>
    <n v="569.95000000000005"/>
    <n v="0.05"/>
    <n v="0.02"/>
    <n v="723"/>
    <n v="26"/>
  </r>
  <r>
    <x v="4"/>
    <x v="18"/>
    <x v="3"/>
    <n v="7.58"/>
    <n v="393.64"/>
    <n v="0.04"/>
    <n v="0.02"/>
    <n v="519"/>
    <n v="27"/>
  </r>
  <r>
    <x v="4"/>
    <x v="26"/>
    <x v="3"/>
    <n v="6.31"/>
    <n v="913.95"/>
    <n v="0.04"/>
    <n v="0.04"/>
    <n v="1448"/>
    <n v="28"/>
  </r>
  <r>
    <x v="4"/>
    <x v="25"/>
    <x v="3"/>
    <n v="4.3"/>
    <n v="744.89"/>
    <n v="0.03"/>
    <n v="0.03"/>
    <n v="1732"/>
    <n v="29"/>
  </r>
  <r>
    <x v="4"/>
    <x v="29"/>
    <x v="3"/>
    <n v="3.66"/>
    <n v="293.42"/>
    <n v="0.02"/>
    <n v="0.01"/>
    <n v="802"/>
    <n v="30"/>
  </r>
  <r>
    <x v="4"/>
    <x v="30"/>
    <x v="3"/>
    <n v="3.45"/>
    <n v="864.8"/>
    <n v="0.02"/>
    <n v="0.04"/>
    <n v="2507"/>
    <n v="31"/>
  </r>
  <r>
    <x v="4"/>
    <x v="28"/>
    <x v="3"/>
    <n v="3.36"/>
    <n v="884.57"/>
    <n v="0.02"/>
    <n v="0.04"/>
    <n v="2633"/>
    <n v="32"/>
  </r>
  <r>
    <x v="4"/>
    <x v="27"/>
    <x v="3"/>
    <n v="3.32"/>
    <n v="322.75"/>
    <n v="0.02"/>
    <n v="0.01"/>
    <n v="972"/>
    <n v="33"/>
  </r>
  <r>
    <x v="4"/>
    <x v="75"/>
    <x v="3"/>
    <n v="3.25"/>
    <n v="401.64"/>
    <n v="0.02"/>
    <n v="0.02"/>
    <n v="1236"/>
    <n v="34"/>
  </r>
  <r>
    <x v="4"/>
    <x v="31"/>
    <x v="3"/>
    <n v="2.0699999999999998"/>
    <n v="437"/>
    <n v="0.01"/>
    <n v="0.02"/>
    <n v="2111"/>
    <n v="35"/>
  </r>
  <r>
    <x v="4"/>
    <x v="33"/>
    <x v="3"/>
    <n v="1.8"/>
    <n v="22.39"/>
    <n v="0.01"/>
    <n v="0"/>
    <n v="124"/>
    <n v="36"/>
  </r>
  <r>
    <x v="4"/>
    <x v="50"/>
    <x v="3"/>
    <n v="1.74"/>
    <n v="323.72000000000003"/>
    <n v="0.01"/>
    <n v="0.01"/>
    <n v="1860"/>
    <n v="37"/>
  </r>
  <r>
    <x v="4"/>
    <x v="38"/>
    <x v="3"/>
    <n v="1.62"/>
    <n v="212.89"/>
    <n v="0.01"/>
    <n v="0.01"/>
    <n v="1314"/>
    <n v="38"/>
  </r>
  <r>
    <x v="4"/>
    <x v="35"/>
    <x v="3"/>
    <n v="1.49"/>
    <n v="96"/>
    <n v="0.01"/>
    <n v="0"/>
    <n v="644"/>
    <n v="39"/>
  </r>
  <r>
    <x v="4"/>
    <x v="37"/>
    <x v="3"/>
    <n v="1.34"/>
    <n v="237.42"/>
    <n v="0.01"/>
    <n v="0.01"/>
    <n v="1772"/>
    <n v="40"/>
  </r>
  <r>
    <x v="4"/>
    <x v="36"/>
    <x v="3"/>
    <n v="1.23"/>
    <n v="442.03"/>
    <n v="0.01"/>
    <n v="0.02"/>
    <n v="3594"/>
    <n v="41"/>
  </r>
  <r>
    <x v="4"/>
    <x v="42"/>
    <x v="3"/>
    <n v="1.1299999999999999"/>
    <n v="225.49"/>
    <n v="0.01"/>
    <n v="0.01"/>
    <n v="1995"/>
    <n v="42"/>
  </r>
  <r>
    <x v="4"/>
    <x v="39"/>
    <x v="3"/>
    <n v="0.93"/>
    <n v="39.03"/>
    <n v="0.01"/>
    <n v="0"/>
    <n v="420"/>
    <n v="43"/>
  </r>
  <r>
    <x v="4"/>
    <x v="49"/>
    <x v="3"/>
    <n v="0.82"/>
    <n v="141.6"/>
    <n v="0"/>
    <n v="0.01"/>
    <n v="1727"/>
    <n v="44"/>
  </r>
  <r>
    <x v="4"/>
    <x v="43"/>
    <x v="3"/>
    <n v="0.82"/>
    <n v="201.79"/>
    <n v="0"/>
    <n v="0.01"/>
    <n v="2461"/>
    <n v="44"/>
  </r>
  <r>
    <x v="4"/>
    <x v="40"/>
    <x v="3"/>
    <n v="0.75"/>
    <n v="257.23"/>
    <n v="0"/>
    <n v="0.01"/>
    <n v="3430"/>
    <n v="46"/>
  </r>
  <r>
    <x v="4"/>
    <x v="67"/>
    <x v="3"/>
    <n v="0.7"/>
    <n v="799.37"/>
    <n v="0"/>
    <n v="0.03"/>
    <n v="11420"/>
    <n v="47"/>
  </r>
  <r>
    <x v="4"/>
    <x v="41"/>
    <x v="3"/>
    <n v="0.65"/>
    <n v="192.73"/>
    <n v="0"/>
    <n v="0.01"/>
    <n v="2965"/>
    <n v="48"/>
  </r>
  <r>
    <x v="4"/>
    <x v="46"/>
    <x v="3"/>
    <n v="0.64"/>
    <n v="194.07"/>
    <n v="0"/>
    <n v="0.01"/>
    <n v="3032"/>
    <n v="49"/>
  </r>
  <r>
    <x v="4"/>
    <x v="82"/>
    <x v="3"/>
    <n v="0.63"/>
    <n v="293.14"/>
    <n v="0"/>
    <n v="0.01"/>
    <n v="4653"/>
    <n v="50"/>
  </r>
  <r>
    <x v="4"/>
    <x v="48"/>
    <x v="3"/>
    <n v="0.6"/>
    <n v="63.97"/>
    <n v="0"/>
    <n v="0"/>
    <n v="1066"/>
    <n v="51"/>
  </r>
  <r>
    <x v="4"/>
    <x v="44"/>
    <x v="3"/>
    <n v="0.59"/>
    <n v="78.97"/>
    <n v="0"/>
    <n v="0"/>
    <n v="1338"/>
    <n v="52"/>
  </r>
  <r>
    <x v="4"/>
    <x v="45"/>
    <x v="3"/>
    <n v="0.5"/>
    <n v="154.35"/>
    <n v="0"/>
    <n v="0.01"/>
    <n v="3087"/>
    <n v="53"/>
  </r>
  <r>
    <x v="4"/>
    <x v="51"/>
    <x v="3"/>
    <n v="0.34"/>
    <n v="85.35"/>
    <n v="0"/>
    <n v="0"/>
    <n v="2510"/>
    <n v="54"/>
  </r>
  <r>
    <x v="4"/>
    <x v="52"/>
    <x v="3"/>
    <n v="0.3"/>
    <n v="89.22"/>
    <n v="0"/>
    <n v="0"/>
    <n v="2974"/>
    <n v="55"/>
  </r>
  <r>
    <x v="4"/>
    <x v="47"/>
    <x v="3"/>
    <n v="0.26"/>
    <n v="58.26"/>
    <n v="0"/>
    <n v="0"/>
    <n v="2241"/>
    <n v="56"/>
  </r>
  <r>
    <x v="4"/>
    <x v="53"/>
    <x v="3"/>
    <n v="0.25"/>
    <n v="66.56"/>
    <n v="0"/>
    <n v="0"/>
    <n v="2662"/>
    <n v="57"/>
  </r>
  <r>
    <x v="4"/>
    <x v="55"/>
    <x v="3"/>
    <n v="0.25"/>
    <n v="52.98"/>
    <n v="0"/>
    <n v="0"/>
    <n v="2119"/>
    <n v="57"/>
  </r>
  <r>
    <x v="4"/>
    <x v="76"/>
    <x v="3"/>
    <n v="0.24"/>
    <n v="26.7"/>
    <n v="0"/>
    <n v="0"/>
    <n v="1113"/>
    <n v="59"/>
  </r>
  <r>
    <x v="4"/>
    <x v="56"/>
    <x v="3"/>
    <n v="0.24"/>
    <n v="78.25"/>
    <n v="0"/>
    <n v="0"/>
    <n v="3260"/>
    <n v="59"/>
  </r>
  <r>
    <x v="4"/>
    <x v="66"/>
    <x v="3"/>
    <n v="0.23"/>
    <n v="9.01"/>
    <n v="0"/>
    <n v="0"/>
    <n v="392"/>
    <n v="61"/>
  </r>
  <r>
    <x v="4"/>
    <x v="65"/>
    <x v="3"/>
    <n v="0.21"/>
    <n v="19.64"/>
    <n v="0"/>
    <n v="0"/>
    <n v="935"/>
    <n v="62"/>
  </r>
  <r>
    <x v="4"/>
    <x v="54"/>
    <x v="3"/>
    <n v="0.2"/>
    <n v="123.89"/>
    <n v="0"/>
    <n v="0.01"/>
    <n v="6195"/>
    <n v="63"/>
  </r>
  <r>
    <x v="4"/>
    <x v="69"/>
    <x v="3"/>
    <n v="0.16"/>
    <n v="7.76"/>
    <n v="0"/>
    <n v="0"/>
    <n v="485"/>
    <n v="64"/>
  </r>
  <r>
    <x v="4"/>
    <x v="57"/>
    <x v="3"/>
    <n v="0.15"/>
    <n v="7.72"/>
    <n v="0"/>
    <n v="0"/>
    <n v="515"/>
    <n v="65"/>
  </r>
  <r>
    <x v="4"/>
    <x v="79"/>
    <x v="3"/>
    <n v="0.12"/>
    <n v="9.77"/>
    <n v="0"/>
    <n v="0"/>
    <n v="814"/>
    <n v="66"/>
  </r>
  <r>
    <x v="4"/>
    <x v="64"/>
    <x v="3"/>
    <n v="0.11"/>
    <n v="13.96"/>
    <n v="0"/>
    <n v="0"/>
    <n v="1269"/>
    <n v="67"/>
  </r>
  <r>
    <x v="4"/>
    <x v="60"/>
    <x v="3"/>
    <n v="0.11"/>
    <n v="41.84"/>
    <n v="0"/>
    <n v="0"/>
    <n v="3804"/>
    <n v="67"/>
  </r>
  <r>
    <x v="4"/>
    <x v="59"/>
    <x v="3"/>
    <n v="0.1"/>
    <n v="48.75"/>
    <n v="0"/>
    <n v="0"/>
    <n v="4875"/>
    <n v="69"/>
  </r>
  <r>
    <x v="4"/>
    <x v="58"/>
    <x v="3"/>
    <n v="0.09"/>
    <n v="6.74"/>
    <n v="0"/>
    <n v="0"/>
    <n v="749"/>
    <n v="70"/>
  </r>
  <r>
    <x v="4"/>
    <x v="81"/>
    <x v="3"/>
    <n v="0.09"/>
    <n v="11.04"/>
    <n v="0"/>
    <n v="0"/>
    <n v="1227"/>
    <n v="70"/>
  </r>
  <r>
    <x v="4"/>
    <x v="62"/>
    <x v="3"/>
    <n v="0.08"/>
    <n v="29.52"/>
    <n v="0"/>
    <n v="0"/>
    <n v="3690"/>
    <n v="72"/>
  </r>
  <r>
    <x v="4"/>
    <x v="68"/>
    <x v="3"/>
    <n v="0.08"/>
    <n v="29.32"/>
    <n v="0"/>
    <n v="0"/>
    <n v="3665"/>
    <n v="72"/>
  </r>
  <r>
    <x v="4"/>
    <x v="63"/>
    <x v="3"/>
    <n v="0.08"/>
    <n v="26.96"/>
    <n v="0"/>
    <n v="0"/>
    <n v="3370"/>
    <n v="72"/>
  </r>
  <r>
    <x v="4"/>
    <x v="80"/>
    <x v="3"/>
    <n v="0.08"/>
    <n v="7.67"/>
    <n v="0"/>
    <n v="0"/>
    <n v="959"/>
    <n v="72"/>
  </r>
  <r>
    <x v="4"/>
    <x v="61"/>
    <x v="3"/>
    <n v="7.0000000000000007E-2"/>
    <n v="8.35"/>
    <n v="0"/>
    <n v="0"/>
    <n v="1193"/>
    <n v="76"/>
  </r>
  <r>
    <x v="4"/>
    <x v="78"/>
    <x v="3"/>
    <n v="0.05"/>
    <n v="29.81"/>
    <n v="0"/>
    <n v="0"/>
    <n v="5962"/>
    <n v="77"/>
  </r>
  <r>
    <x v="4"/>
    <x v="83"/>
    <x v="3"/>
    <n v="0.04"/>
    <n v="15.22"/>
    <n v="0"/>
    <n v="0"/>
    <n v="3805"/>
    <n v="78"/>
  </r>
  <r>
    <x v="4"/>
    <x v="72"/>
    <x v="3"/>
    <n v="0.04"/>
    <n v="28.47"/>
    <n v="0"/>
    <n v="0"/>
    <n v="7118"/>
    <n v="78"/>
  </r>
  <r>
    <x v="4"/>
    <x v="77"/>
    <x v="3"/>
    <n v="0.03"/>
    <n v="2.39"/>
    <n v="0"/>
    <n v="0"/>
    <n v="797"/>
    <n v="80"/>
  </r>
  <r>
    <x v="4"/>
    <x v="71"/>
    <x v="3"/>
    <n v="0.03"/>
    <n v="11.6"/>
    <n v="0"/>
    <n v="0"/>
    <n v="3867"/>
    <n v="80"/>
  </r>
  <r>
    <x v="4"/>
    <x v="70"/>
    <x v="3"/>
    <n v="0.02"/>
    <n v="1.55"/>
    <n v="0"/>
    <n v="0"/>
    <n v="775"/>
    <n v="82"/>
  </r>
  <r>
    <x v="5"/>
    <x v="0"/>
    <x v="0"/>
    <n v="7656.4"/>
    <n v="1118963.81"/>
    <n v="47.54"/>
    <n v="50.94"/>
    <n v="1461"/>
    <n v="1"/>
  </r>
  <r>
    <x v="5"/>
    <x v="1"/>
    <x v="1"/>
    <n v="5836.8"/>
    <n v="771089.15"/>
    <n v="36.24"/>
    <n v="35.11"/>
    <n v="1321"/>
    <n v="2"/>
  </r>
  <r>
    <x v="5"/>
    <x v="2"/>
    <x v="2"/>
    <n v="1079.6400000000001"/>
    <n v="117090.29"/>
    <n v="6.7"/>
    <n v="5.33"/>
    <n v="1085"/>
    <n v="3"/>
  </r>
  <r>
    <x v="5"/>
    <x v="4"/>
    <x v="3"/>
    <n v="260.75"/>
    <n v="14322.97"/>
    <n v="1.62"/>
    <n v="0.65"/>
    <n v="549"/>
    <n v="4"/>
  </r>
  <r>
    <x v="5"/>
    <x v="14"/>
    <x v="3"/>
    <n v="139.1"/>
    <n v="4812.4399999999996"/>
    <n v="0.86"/>
    <n v="0.22"/>
    <n v="346"/>
    <n v="5"/>
  </r>
  <r>
    <x v="5"/>
    <x v="3"/>
    <x v="3"/>
    <n v="126.48"/>
    <n v="45127.72"/>
    <n v="0.79"/>
    <n v="2.0499999999999998"/>
    <n v="3568"/>
    <n v="6"/>
  </r>
  <r>
    <x v="5"/>
    <x v="5"/>
    <x v="3"/>
    <n v="117.7"/>
    <n v="9197.33"/>
    <n v="0.73"/>
    <n v="0.42"/>
    <n v="781"/>
    <n v="7"/>
  </r>
  <r>
    <x v="5"/>
    <x v="6"/>
    <x v="3"/>
    <n v="93.31"/>
    <n v="9077.2999999999993"/>
    <n v="0.57999999999999996"/>
    <n v="0.41"/>
    <n v="973"/>
    <n v="8"/>
  </r>
  <r>
    <x v="5"/>
    <x v="7"/>
    <x v="3"/>
    <n v="77.08"/>
    <n v="876.12"/>
    <n v="0.48"/>
    <n v="0.04"/>
    <n v="114"/>
    <n v="9"/>
  </r>
  <r>
    <x v="5"/>
    <x v="9"/>
    <x v="3"/>
    <n v="58.86"/>
    <n v="4349.62"/>
    <n v="0.37"/>
    <n v="0.2"/>
    <n v="739"/>
    <n v="10"/>
  </r>
  <r>
    <x v="5"/>
    <x v="8"/>
    <x v="3"/>
    <n v="54.11"/>
    <n v="14374.53"/>
    <n v="0.34"/>
    <n v="0.65"/>
    <n v="2657"/>
    <n v="11"/>
  </r>
  <r>
    <x v="5"/>
    <x v="10"/>
    <x v="3"/>
    <n v="50.53"/>
    <n v="6872.1"/>
    <n v="0.31"/>
    <n v="0.31"/>
    <n v="1360"/>
    <n v="12"/>
  </r>
  <r>
    <x v="5"/>
    <x v="11"/>
    <x v="3"/>
    <n v="47.98"/>
    <n v="10547.64"/>
    <n v="0.3"/>
    <n v="0.48"/>
    <n v="2198"/>
    <n v="13"/>
  </r>
  <r>
    <x v="5"/>
    <x v="12"/>
    <x v="3"/>
    <n v="37.78"/>
    <n v="8385.06"/>
    <n v="0.23"/>
    <n v="0.38"/>
    <n v="2219"/>
    <n v="14"/>
  </r>
  <r>
    <x v="5"/>
    <x v="13"/>
    <x v="3"/>
    <n v="36.880000000000003"/>
    <n v="8475.2900000000009"/>
    <n v="0.23"/>
    <n v="0.39"/>
    <n v="2298"/>
    <n v="15"/>
  </r>
  <r>
    <x v="5"/>
    <x v="16"/>
    <x v="3"/>
    <n v="24.19"/>
    <n v="3733.72"/>
    <n v="0.15"/>
    <n v="0.17"/>
    <n v="1543"/>
    <n v="16"/>
  </r>
  <r>
    <x v="5"/>
    <x v="15"/>
    <x v="3"/>
    <n v="18.989999999999998"/>
    <n v="1349.23"/>
    <n v="0.12"/>
    <n v="0.06"/>
    <n v="710"/>
    <n v="17"/>
  </r>
  <r>
    <x v="5"/>
    <x v="20"/>
    <x v="3"/>
    <n v="15.31"/>
    <n v="1742.71"/>
    <n v="0.1"/>
    <n v="0.08"/>
    <n v="1138"/>
    <n v="18"/>
  </r>
  <r>
    <x v="5"/>
    <x v="17"/>
    <x v="3"/>
    <n v="12.81"/>
    <n v="8383.73"/>
    <n v="0.08"/>
    <n v="0.38"/>
    <n v="6545"/>
    <n v="19"/>
  </r>
  <r>
    <x v="5"/>
    <x v="24"/>
    <x v="3"/>
    <n v="12.27"/>
    <n v="1463.53"/>
    <n v="0.08"/>
    <n v="7.0000000000000007E-2"/>
    <n v="1193"/>
    <n v="20"/>
  </r>
  <r>
    <x v="5"/>
    <x v="22"/>
    <x v="3"/>
    <n v="11.98"/>
    <n v="2158.3000000000002"/>
    <n v="7.0000000000000007E-2"/>
    <n v="0.1"/>
    <n v="1802"/>
    <n v="21"/>
  </r>
  <r>
    <x v="5"/>
    <x v="21"/>
    <x v="3"/>
    <n v="11.68"/>
    <n v="3197.67"/>
    <n v="7.0000000000000007E-2"/>
    <n v="0.15"/>
    <n v="2738"/>
    <n v="22"/>
  </r>
  <r>
    <x v="5"/>
    <x v="34"/>
    <x v="3"/>
    <n v="8.86"/>
    <n v="1421.89"/>
    <n v="0.06"/>
    <n v="0.06"/>
    <n v="1605"/>
    <n v="23"/>
  </r>
  <r>
    <x v="5"/>
    <x v="19"/>
    <x v="3"/>
    <n v="8.39"/>
    <n v="1707.51"/>
    <n v="0.05"/>
    <n v="0.08"/>
    <n v="2035"/>
    <n v="24"/>
  </r>
  <r>
    <x v="5"/>
    <x v="23"/>
    <x v="3"/>
    <n v="8.09"/>
    <n v="576.29999999999995"/>
    <n v="0.05"/>
    <n v="0.03"/>
    <n v="712"/>
    <n v="25"/>
  </r>
  <r>
    <x v="5"/>
    <x v="32"/>
    <x v="3"/>
    <n v="7.27"/>
    <n v="419.36"/>
    <n v="0.05"/>
    <n v="0.02"/>
    <n v="577"/>
    <n v="26"/>
  </r>
  <r>
    <x v="5"/>
    <x v="26"/>
    <x v="3"/>
    <n v="5.95"/>
    <n v="858.34"/>
    <n v="0.04"/>
    <n v="0.04"/>
    <n v="1443"/>
    <n v="27"/>
  </r>
  <r>
    <x v="5"/>
    <x v="18"/>
    <x v="3"/>
    <n v="4.42"/>
    <n v="238.42"/>
    <n v="0.03"/>
    <n v="0.01"/>
    <n v="539"/>
    <n v="28"/>
  </r>
  <r>
    <x v="5"/>
    <x v="25"/>
    <x v="3"/>
    <n v="4.08"/>
    <n v="715.26"/>
    <n v="0.03"/>
    <n v="0.03"/>
    <n v="1753"/>
    <n v="29"/>
  </r>
  <r>
    <x v="5"/>
    <x v="29"/>
    <x v="3"/>
    <n v="3.66"/>
    <n v="290.56"/>
    <n v="0.02"/>
    <n v="0.01"/>
    <n v="794"/>
    <n v="30"/>
  </r>
  <r>
    <x v="5"/>
    <x v="28"/>
    <x v="3"/>
    <n v="3.25"/>
    <n v="837.13"/>
    <n v="0.02"/>
    <n v="0.04"/>
    <n v="2576"/>
    <n v="31"/>
  </r>
  <r>
    <x v="5"/>
    <x v="30"/>
    <x v="3"/>
    <n v="3.19"/>
    <n v="809.91"/>
    <n v="0.02"/>
    <n v="0.04"/>
    <n v="2539"/>
    <n v="32"/>
  </r>
  <r>
    <x v="5"/>
    <x v="27"/>
    <x v="3"/>
    <n v="3.12"/>
    <n v="442.68"/>
    <n v="0.02"/>
    <n v="0.02"/>
    <n v="1419"/>
    <n v="33"/>
  </r>
  <r>
    <x v="5"/>
    <x v="75"/>
    <x v="3"/>
    <n v="2.99"/>
    <n v="377.32"/>
    <n v="0.02"/>
    <n v="0.02"/>
    <n v="1262"/>
    <n v="34"/>
  </r>
  <r>
    <x v="5"/>
    <x v="33"/>
    <x v="3"/>
    <n v="2.19"/>
    <n v="28.77"/>
    <n v="0.01"/>
    <n v="0"/>
    <n v="131"/>
    <n v="35"/>
  </r>
  <r>
    <x v="5"/>
    <x v="47"/>
    <x v="3"/>
    <n v="1.76"/>
    <n v="307.45"/>
    <n v="0.01"/>
    <n v="0.01"/>
    <n v="1747"/>
    <n v="36"/>
  </r>
  <r>
    <x v="5"/>
    <x v="36"/>
    <x v="3"/>
    <n v="1.72"/>
    <n v="472.44"/>
    <n v="0.01"/>
    <n v="0.02"/>
    <n v="2747"/>
    <n v="37"/>
  </r>
  <r>
    <x v="5"/>
    <x v="38"/>
    <x v="3"/>
    <n v="1.57"/>
    <n v="216.84"/>
    <n v="0.01"/>
    <n v="0.01"/>
    <n v="1381"/>
    <n v="38"/>
  </r>
  <r>
    <x v="5"/>
    <x v="35"/>
    <x v="3"/>
    <n v="1.41"/>
    <n v="93.44"/>
    <n v="0.01"/>
    <n v="0"/>
    <n v="663"/>
    <n v="39"/>
  </r>
  <r>
    <x v="5"/>
    <x v="37"/>
    <x v="3"/>
    <n v="1.36"/>
    <n v="233.31"/>
    <n v="0.01"/>
    <n v="0.01"/>
    <n v="1716"/>
    <n v="40"/>
  </r>
  <r>
    <x v="5"/>
    <x v="48"/>
    <x v="3"/>
    <n v="1.1599999999999999"/>
    <n v="81.099999999999994"/>
    <n v="0.01"/>
    <n v="0"/>
    <n v="699"/>
    <n v="41"/>
  </r>
  <r>
    <x v="5"/>
    <x v="50"/>
    <x v="3"/>
    <n v="1.1200000000000001"/>
    <n v="193.28"/>
    <n v="0.01"/>
    <n v="0.01"/>
    <n v="1726"/>
    <n v="42"/>
  </r>
  <r>
    <x v="5"/>
    <x v="49"/>
    <x v="3"/>
    <n v="1.01"/>
    <n v="155.81"/>
    <n v="0.01"/>
    <n v="0.01"/>
    <n v="1543"/>
    <n v="43"/>
  </r>
  <r>
    <x v="5"/>
    <x v="42"/>
    <x v="3"/>
    <n v="1"/>
    <n v="202.69"/>
    <n v="0.01"/>
    <n v="0.01"/>
    <n v="2027"/>
    <n v="44"/>
  </r>
  <r>
    <x v="5"/>
    <x v="43"/>
    <x v="3"/>
    <n v="0.82"/>
    <n v="186.7"/>
    <n v="0.01"/>
    <n v="0.01"/>
    <n v="2277"/>
    <n v="45"/>
  </r>
  <r>
    <x v="5"/>
    <x v="82"/>
    <x v="3"/>
    <n v="0.78"/>
    <n v="357.98"/>
    <n v="0"/>
    <n v="0.02"/>
    <n v="4589"/>
    <n v="46"/>
  </r>
  <r>
    <x v="5"/>
    <x v="39"/>
    <x v="3"/>
    <n v="0.7"/>
    <n v="29.68"/>
    <n v="0"/>
    <n v="0"/>
    <n v="424"/>
    <n v="47"/>
  </r>
  <r>
    <x v="5"/>
    <x v="46"/>
    <x v="3"/>
    <n v="0.68"/>
    <n v="208.81"/>
    <n v="0"/>
    <n v="0.01"/>
    <n v="3071"/>
    <n v="48"/>
  </r>
  <r>
    <x v="5"/>
    <x v="40"/>
    <x v="3"/>
    <n v="0.67"/>
    <n v="225.15"/>
    <n v="0"/>
    <n v="0.01"/>
    <n v="3360"/>
    <n v="49"/>
  </r>
  <r>
    <x v="5"/>
    <x v="67"/>
    <x v="3"/>
    <n v="0.66"/>
    <n v="742.49"/>
    <n v="0"/>
    <n v="0.03"/>
    <n v="11250"/>
    <n v="50"/>
  </r>
  <r>
    <x v="5"/>
    <x v="65"/>
    <x v="3"/>
    <n v="0.62"/>
    <n v="41.42"/>
    <n v="0"/>
    <n v="0"/>
    <n v="668"/>
    <n v="51"/>
  </r>
  <r>
    <x v="5"/>
    <x v="41"/>
    <x v="3"/>
    <n v="0.62"/>
    <n v="178.11"/>
    <n v="0"/>
    <n v="0.01"/>
    <n v="2873"/>
    <n v="51"/>
  </r>
  <r>
    <x v="5"/>
    <x v="31"/>
    <x v="3"/>
    <n v="0.61"/>
    <n v="168.69"/>
    <n v="0"/>
    <n v="0.01"/>
    <n v="2765"/>
    <n v="53"/>
  </r>
  <r>
    <x v="5"/>
    <x v="44"/>
    <x v="3"/>
    <n v="0.53"/>
    <n v="68.540000000000006"/>
    <n v="0"/>
    <n v="0"/>
    <n v="1293"/>
    <n v="54"/>
  </r>
  <r>
    <x v="5"/>
    <x v="45"/>
    <x v="3"/>
    <n v="0.49"/>
    <n v="148.93"/>
    <n v="0"/>
    <n v="0.01"/>
    <n v="3039"/>
    <n v="55"/>
  </r>
  <r>
    <x v="5"/>
    <x v="51"/>
    <x v="3"/>
    <n v="0.35"/>
    <n v="89.18"/>
    <n v="0"/>
    <n v="0"/>
    <n v="2548"/>
    <n v="56"/>
  </r>
  <r>
    <x v="5"/>
    <x v="69"/>
    <x v="3"/>
    <n v="0.3"/>
    <n v="15.64"/>
    <n v="0"/>
    <n v="0"/>
    <n v="521"/>
    <n v="57"/>
  </r>
  <r>
    <x v="5"/>
    <x v="52"/>
    <x v="3"/>
    <n v="0.3"/>
    <n v="92.32"/>
    <n v="0"/>
    <n v="0"/>
    <n v="3077"/>
    <n v="57"/>
  </r>
  <r>
    <x v="5"/>
    <x v="53"/>
    <x v="3"/>
    <n v="0.27"/>
    <n v="67.2"/>
    <n v="0"/>
    <n v="0"/>
    <n v="2489"/>
    <n v="59"/>
  </r>
  <r>
    <x v="5"/>
    <x v="76"/>
    <x v="3"/>
    <n v="0.27"/>
    <n v="26.81"/>
    <n v="0"/>
    <n v="0"/>
    <n v="993"/>
    <n v="59"/>
  </r>
  <r>
    <x v="5"/>
    <x v="56"/>
    <x v="3"/>
    <n v="0.24"/>
    <n v="75.45"/>
    <n v="0"/>
    <n v="0"/>
    <n v="3144"/>
    <n v="61"/>
  </r>
  <r>
    <x v="5"/>
    <x v="55"/>
    <x v="3"/>
    <n v="0.23"/>
    <n v="50.92"/>
    <n v="0"/>
    <n v="0"/>
    <n v="2214"/>
    <n v="62"/>
  </r>
  <r>
    <x v="5"/>
    <x v="54"/>
    <x v="3"/>
    <n v="0.2"/>
    <n v="114.12"/>
    <n v="0"/>
    <n v="0.01"/>
    <n v="5706"/>
    <n v="63"/>
  </r>
  <r>
    <x v="5"/>
    <x v="57"/>
    <x v="3"/>
    <n v="0.15"/>
    <n v="7.35"/>
    <n v="0"/>
    <n v="0"/>
    <n v="490"/>
    <n v="64"/>
  </r>
  <r>
    <x v="5"/>
    <x v="79"/>
    <x v="3"/>
    <n v="0.15"/>
    <n v="15.33"/>
    <n v="0"/>
    <n v="0"/>
    <n v="1022"/>
    <n v="64"/>
  </r>
  <r>
    <x v="5"/>
    <x v="66"/>
    <x v="3"/>
    <n v="0.13"/>
    <n v="4.6399999999999997"/>
    <n v="0"/>
    <n v="0"/>
    <n v="357"/>
    <n v="66"/>
  </r>
  <r>
    <x v="5"/>
    <x v="81"/>
    <x v="3"/>
    <n v="0.12"/>
    <n v="16.73"/>
    <n v="0"/>
    <n v="0"/>
    <n v="1394"/>
    <n v="67"/>
  </r>
  <r>
    <x v="5"/>
    <x v="64"/>
    <x v="3"/>
    <n v="0.12"/>
    <n v="14.62"/>
    <n v="0"/>
    <n v="0"/>
    <n v="1218"/>
    <n v="67"/>
  </r>
  <r>
    <x v="5"/>
    <x v="80"/>
    <x v="3"/>
    <n v="0.1"/>
    <n v="9.8800000000000008"/>
    <n v="0"/>
    <n v="0"/>
    <n v="988"/>
    <n v="69"/>
  </r>
  <r>
    <x v="5"/>
    <x v="59"/>
    <x v="3"/>
    <n v="0.09"/>
    <n v="46.26"/>
    <n v="0"/>
    <n v="0"/>
    <n v="5140"/>
    <n v="70"/>
  </r>
  <r>
    <x v="5"/>
    <x v="60"/>
    <x v="3"/>
    <n v="0.09"/>
    <n v="32.229999999999997"/>
    <n v="0"/>
    <n v="0"/>
    <n v="3581"/>
    <n v="70"/>
  </r>
  <r>
    <x v="5"/>
    <x v="58"/>
    <x v="3"/>
    <n v="0.09"/>
    <n v="6.62"/>
    <n v="0"/>
    <n v="0"/>
    <n v="736"/>
    <n v="70"/>
  </r>
  <r>
    <x v="5"/>
    <x v="62"/>
    <x v="3"/>
    <n v="0.08"/>
    <n v="28.98"/>
    <n v="0"/>
    <n v="0"/>
    <n v="3623"/>
    <n v="73"/>
  </r>
  <r>
    <x v="5"/>
    <x v="68"/>
    <x v="3"/>
    <n v="0.08"/>
    <n v="28.6"/>
    <n v="0"/>
    <n v="0"/>
    <n v="3575"/>
    <n v="73"/>
  </r>
  <r>
    <x v="5"/>
    <x v="63"/>
    <x v="3"/>
    <n v="0.08"/>
    <n v="26.47"/>
    <n v="0"/>
    <n v="0"/>
    <n v="3309"/>
    <n v="73"/>
  </r>
  <r>
    <x v="5"/>
    <x v="61"/>
    <x v="3"/>
    <n v="0.08"/>
    <n v="8.1199999999999992"/>
    <n v="0"/>
    <n v="0"/>
    <n v="1015"/>
    <n v="73"/>
  </r>
  <r>
    <x v="5"/>
    <x v="78"/>
    <x v="3"/>
    <n v="7.0000000000000007E-2"/>
    <n v="24.26"/>
    <n v="0"/>
    <n v="0"/>
    <n v="3466"/>
    <n v="77"/>
  </r>
  <r>
    <x v="5"/>
    <x v="70"/>
    <x v="3"/>
    <n v="0.04"/>
    <n v="2.36"/>
    <n v="0"/>
    <n v="0"/>
    <n v="590"/>
    <n v="78"/>
  </r>
  <r>
    <x v="5"/>
    <x v="77"/>
    <x v="3"/>
    <n v="0.03"/>
    <n v="2.44"/>
    <n v="0"/>
    <n v="0"/>
    <n v="813"/>
    <n v="79"/>
  </r>
  <r>
    <x v="5"/>
    <x v="71"/>
    <x v="3"/>
    <n v="0.03"/>
    <n v="9.76"/>
    <n v="0"/>
    <n v="0"/>
    <n v="3253"/>
    <n v="79"/>
  </r>
  <r>
    <x v="5"/>
    <x v="83"/>
    <x v="3"/>
    <n v="0.02"/>
    <n v="9.0299999999999994"/>
    <n v="0"/>
    <n v="0"/>
    <n v="4515"/>
    <n v="81"/>
  </r>
  <r>
    <x v="6"/>
    <x v="0"/>
    <x v="0"/>
    <n v="8647.7800000000007"/>
    <n v="1257075.54"/>
    <n v="47.25"/>
    <n v="50.75"/>
    <n v="1454"/>
    <n v="1"/>
  </r>
  <r>
    <x v="6"/>
    <x v="1"/>
    <x v="1"/>
    <n v="6596.76"/>
    <n v="866568.18"/>
    <n v="36.04"/>
    <n v="34.979999999999997"/>
    <n v="1314"/>
    <n v="2"/>
  </r>
  <r>
    <x v="6"/>
    <x v="2"/>
    <x v="2"/>
    <n v="1221.1199999999999"/>
    <n v="132912.04"/>
    <n v="6.67"/>
    <n v="5.37"/>
    <n v="1088"/>
    <n v="3"/>
  </r>
  <r>
    <x v="6"/>
    <x v="4"/>
    <x v="3"/>
    <n v="324.42"/>
    <n v="18018.650000000001"/>
    <n v="1.77"/>
    <n v="0.73"/>
    <n v="555"/>
    <n v="4"/>
  </r>
  <r>
    <x v="6"/>
    <x v="14"/>
    <x v="3"/>
    <n v="171.75"/>
    <n v="5933.08"/>
    <n v="0.94"/>
    <n v="0.24"/>
    <n v="345"/>
    <n v="5"/>
  </r>
  <r>
    <x v="6"/>
    <x v="5"/>
    <x v="3"/>
    <n v="145.78"/>
    <n v="9966.5300000000007"/>
    <n v="0.8"/>
    <n v="0.4"/>
    <n v="684"/>
    <n v="6"/>
  </r>
  <r>
    <x v="6"/>
    <x v="3"/>
    <x v="3"/>
    <n v="144.82"/>
    <n v="55091.22"/>
    <n v="0.79"/>
    <n v="2.2200000000000002"/>
    <n v="3804"/>
    <n v="7"/>
  </r>
  <r>
    <x v="6"/>
    <x v="6"/>
    <x v="3"/>
    <n v="111.06"/>
    <n v="10606.66"/>
    <n v="0.61"/>
    <n v="0.43"/>
    <n v="955"/>
    <n v="8"/>
  </r>
  <r>
    <x v="6"/>
    <x v="7"/>
    <x v="3"/>
    <n v="89.94"/>
    <n v="1099.28"/>
    <n v="0.49"/>
    <n v="0.04"/>
    <n v="122"/>
    <n v="9"/>
  </r>
  <r>
    <x v="6"/>
    <x v="8"/>
    <x v="3"/>
    <n v="67.63"/>
    <n v="16696.939999999999"/>
    <n v="0.37"/>
    <n v="0.67"/>
    <n v="2469"/>
    <n v="10"/>
  </r>
  <r>
    <x v="6"/>
    <x v="9"/>
    <x v="3"/>
    <n v="66.23"/>
    <n v="4958.25"/>
    <n v="0.36"/>
    <n v="0.2"/>
    <n v="749"/>
    <n v="11"/>
  </r>
  <r>
    <x v="6"/>
    <x v="11"/>
    <x v="3"/>
    <n v="60.94"/>
    <n v="11789.9"/>
    <n v="0.33"/>
    <n v="0.48"/>
    <n v="1935"/>
    <n v="12"/>
  </r>
  <r>
    <x v="6"/>
    <x v="10"/>
    <x v="3"/>
    <n v="57.05"/>
    <n v="7737.14"/>
    <n v="0.31"/>
    <n v="0.31"/>
    <n v="1356"/>
    <n v="13"/>
  </r>
  <r>
    <x v="6"/>
    <x v="13"/>
    <x v="3"/>
    <n v="46.13"/>
    <n v="9540.09"/>
    <n v="0.25"/>
    <n v="0.39"/>
    <n v="2068"/>
    <n v="14"/>
  </r>
  <r>
    <x v="6"/>
    <x v="12"/>
    <x v="3"/>
    <n v="44.03"/>
    <n v="9388.85"/>
    <n v="0.24"/>
    <n v="0.38"/>
    <n v="2132"/>
    <n v="15"/>
  </r>
  <r>
    <x v="6"/>
    <x v="16"/>
    <x v="3"/>
    <n v="29.8"/>
    <n v="4414"/>
    <n v="0.16"/>
    <n v="0.18"/>
    <n v="1481"/>
    <n v="16"/>
  </r>
  <r>
    <x v="6"/>
    <x v="15"/>
    <x v="3"/>
    <n v="21.63"/>
    <n v="1487.89"/>
    <n v="0.12"/>
    <n v="0.06"/>
    <n v="688"/>
    <n v="17"/>
  </r>
  <r>
    <x v="6"/>
    <x v="20"/>
    <x v="3"/>
    <n v="17.41"/>
    <n v="2069.31"/>
    <n v="0.1"/>
    <n v="0.08"/>
    <n v="1189"/>
    <n v="18"/>
  </r>
  <r>
    <x v="6"/>
    <x v="24"/>
    <x v="3"/>
    <n v="16.579999999999998"/>
    <n v="1941.73"/>
    <n v="0.09"/>
    <n v="0.08"/>
    <n v="1171"/>
    <n v="19"/>
  </r>
  <r>
    <x v="6"/>
    <x v="22"/>
    <x v="3"/>
    <n v="14.53"/>
    <n v="2486.08"/>
    <n v="0.08"/>
    <n v="0.1"/>
    <n v="1711"/>
    <n v="20"/>
  </r>
  <r>
    <x v="6"/>
    <x v="21"/>
    <x v="3"/>
    <n v="12.61"/>
    <n v="3418.04"/>
    <n v="7.0000000000000007E-2"/>
    <n v="0.14000000000000001"/>
    <n v="2711"/>
    <n v="21"/>
  </r>
  <r>
    <x v="6"/>
    <x v="34"/>
    <x v="3"/>
    <n v="12.59"/>
    <n v="1741.69"/>
    <n v="7.0000000000000007E-2"/>
    <n v="7.0000000000000007E-2"/>
    <n v="1383"/>
    <n v="22"/>
  </r>
  <r>
    <x v="6"/>
    <x v="17"/>
    <x v="3"/>
    <n v="11.63"/>
    <n v="7009.63"/>
    <n v="0.06"/>
    <n v="0.28000000000000003"/>
    <n v="6027"/>
    <n v="23"/>
  </r>
  <r>
    <x v="6"/>
    <x v="19"/>
    <x v="3"/>
    <n v="9.66"/>
    <n v="1892.01"/>
    <n v="0.05"/>
    <n v="0.08"/>
    <n v="1959"/>
    <n v="24"/>
  </r>
  <r>
    <x v="6"/>
    <x v="23"/>
    <x v="3"/>
    <n v="8.9499999999999993"/>
    <n v="642.73"/>
    <n v="0.05"/>
    <n v="0.03"/>
    <n v="718"/>
    <n v="25"/>
  </r>
  <r>
    <x v="6"/>
    <x v="32"/>
    <x v="3"/>
    <n v="8.5299999999999994"/>
    <n v="449.95"/>
    <n v="0.05"/>
    <n v="0.02"/>
    <n v="527"/>
    <n v="26"/>
  </r>
  <r>
    <x v="6"/>
    <x v="26"/>
    <x v="3"/>
    <n v="6.49"/>
    <n v="958.52"/>
    <n v="0.04"/>
    <n v="0.04"/>
    <n v="1477"/>
    <n v="27"/>
  </r>
  <r>
    <x v="6"/>
    <x v="25"/>
    <x v="3"/>
    <n v="4.75"/>
    <n v="869.77"/>
    <n v="0.03"/>
    <n v="0.04"/>
    <n v="1831"/>
    <n v="28"/>
  </r>
  <r>
    <x v="6"/>
    <x v="18"/>
    <x v="3"/>
    <n v="4.72"/>
    <n v="257.82"/>
    <n v="0.03"/>
    <n v="0.01"/>
    <n v="546"/>
    <n v="29"/>
  </r>
  <r>
    <x v="6"/>
    <x v="29"/>
    <x v="3"/>
    <n v="4.08"/>
    <n v="318.2"/>
    <n v="0.02"/>
    <n v="0.01"/>
    <n v="780"/>
    <n v="30"/>
  </r>
  <r>
    <x v="6"/>
    <x v="28"/>
    <x v="3"/>
    <n v="3.75"/>
    <n v="975.91"/>
    <n v="0.02"/>
    <n v="0.04"/>
    <n v="2602"/>
    <n v="31"/>
  </r>
  <r>
    <x v="6"/>
    <x v="27"/>
    <x v="3"/>
    <n v="3.62"/>
    <n v="532.04999999999995"/>
    <n v="0.02"/>
    <n v="0.02"/>
    <n v="1470"/>
    <n v="32"/>
  </r>
  <r>
    <x v="6"/>
    <x v="30"/>
    <x v="3"/>
    <n v="3.38"/>
    <n v="898.95"/>
    <n v="0.02"/>
    <n v="0.04"/>
    <n v="2660"/>
    <n v="33"/>
  </r>
  <r>
    <x v="6"/>
    <x v="75"/>
    <x v="3"/>
    <n v="3.25"/>
    <n v="434.16"/>
    <n v="0.02"/>
    <n v="0.02"/>
    <n v="1336"/>
    <n v="34"/>
  </r>
  <r>
    <x v="6"/>
    <x v="33"/>
    <x v="3"/>
    <n v="3.07"/>
    <n v="37.659999999999997"/>
    <n v="0.02"/>
    <n v="0"/>
    <n v="123"/>
    <n v="35"/>
  </r>
  <r>
    <x v="6"/>
    <x v="36"/>
    <x v="3"/>
    <n v="2.11"/>
    <n v="588.95000000000005"/>
    <n v="0.01"/>
    <n v="0.02"/>
    <n v="2791"/>
    <n v="36"/>
  </r>
  <r>
    <x v="6"/>
    <x v="47"/>
    <x v="3"/>
    <n v="2.04"/>
    <n v="346"/>
    <n v="0.01"/>
    <n v="0.01"/>
    <n v="1696"/>
    <n v="37"/>
  </r>
  <r>
    <x v="6"/>
    <x v="48"/>
    <x v="3"/>
    <n v="1.75"/>
    <n v="116.77"/>
    <n v="0.01"/>
    <n v="0"/>
    <n v="667"/>
    <n v="38"/>
  </r>
  <r>
    <x v="6"/>
    <x v="38"/>
    <x v="3"/>
    <n v="1.75"/>
    <n v="261.45"/>
    <n v="0.01"/>
    <n v="0.01"/>
    <n v="1494"/>
    <n v="38"/>
  </r>
  <r>
    <x v="6"/>
    <x v="35"/>
    <x v="3"/>
    <n v="1.59"/>
    <n v="86.51"/>
    <n v="0.01"/>
    <n v="0"/>
    <n v="544"/>
    <n v="40"/>
  </r>
  <r>
    <x v="6"/>
    <x v="37"/>
    <x v="3"/>
    <n v="1.57"/>
    <n v="268"/>
    <n v="0.01"/>
    <n v="0.01"/>
    <n v="1707"/>
    <n v="41"/>
  </r>
  <r>
    <x v="6"/>
    <x v="49"/>
    <x v="3"/>
    <n v="1.41"/>
    <n v="213.93"/>
    <n v="0.01"/>
    <n v="0.01"/>
    <n v="1517"/>
    <n v="42"/>
  </r>
  <r>
    <x v="6"/>
    <x v="50"/>
    <x v="3"/>
    <n v="1.26"/>
    <n v="178.92"/>
    <n v="0.01"/>
    <n v="0.01"/>
    <n v="1420"/>
    <n v="43"/>
  </r>
  <r>
    <x v="6"/>
    <x v="65"/>
    <x v="3"/>
    <n v="1.07"/>
    <n v="68.67"/>
    <n v="0.01"/>
    <n v="0"/>
    <n v="642"/>
    <n v="44"/>
  </r>
  <r>
    <x v="6"/>
    <x v="42"/>
    <x v="3"/>
    <n v="1.02"/>
    <n v="230.21"/>
    <n v="0.01"/>
    <n v="0.01"/>
    <n v="2257"/>
    <n v="45"/>
  </r>
  <r>
    <x v="6"/>
    <x v="43"/>
    <x v="3"/>
    <n v="1"/>
    <n v="224.84"/>
    <n v="0.01"/>
    <n v="0.01"/>
    <n v="2248"/>
    <n v="46"/>
  </r>
  <r>
    <x v="6"/>
    <x v="82"/>
    <x v="3"/>
    <n v="0.95"/>
    <n v="436.8"/>
    <n v="0.01"/>
    <n v="0.02"/>
    <n v="4598"/>
    <n v="47"/>
  </r>
  <r>
    <x v="6"/>
    <x v="39"/>
    <x v="3"/>
    <n v="0.88"/>
    <n v="39.97"/>
    <n v="0"/>
    <n v="0"/>
    <n v="454"/>
    <n v="48"/>
  </r>
  <r>
    <x v="6"/>
    <x v="67"/>
    <x v="3"/>
    <n v="0.82"/>
    <n v="973"/>
    <n v="0"/>
    <n v="0.04"/>
    <n v="11866"/>
    <n v="49"/>
  </r>
  <r>
    <x v="6"/>
    <x v="46"/>
    <x v="3"/>
    <n v="0.8"/>
    <n v="258.58"/>
    <n v="0"/>
    <n v="0.01"/>
    <n v="3232"/>
    <n v="50"/>
  </r>
  <r>
    <x v="6"/>
    <x v="40"/>
    <x v="3"/>
    <n v="0.72"/>
    <n v="241.09"/>
    <n v="0"/>
    <n v="0.01"/>
    <n v="3348"/>
    <n v="51"/>
  </r>
  <r>
    <x v="6"/>
    <x v="41"/>
    <x v="3"/>
    <n v="0.68"/>
    <n v="204.88"/>
    <n v="0"/>
    <n v="0.01"/>
    <n v="3013"/>
    <n v="52"/>
  </r>
  <r>
    <x v="6"/>
    <x v="31"/>
    <x v="3"/>
    <n v="0.64"/>
    <n v="176.18"/>
    <n v="0"/>
    <n v="0.01"/>
    <n v="2753"/>
    <n v="53"/>
  </r>
  <r>
    <x v="6"/>
    <x v="45"/>
    <x v="3"/>
    <n v="0.59"/>
    <n v="174.06"/>
    <n v="0"/>
    <n v="0.01"/>
    <n v="2950"/>
    <n v="54"/>
  </r>
  <r>
    <x v="6"/>
    <x v="44"/>
    <x v="3"/>
    <n v="0.57999999999999996"/>
    <n v="63.84"/>
    <n v="0"/>
    <n v="0"/>
    <n v="1101"/>
    <n v="55"/>
  </r>
  <r>
    <x v="6"/>
    <x v="54"/>
    <x v="3"/>
    <n v="0.5"/>
    <n v="146.46"/>
    <n v="0"/>
    <n v="0.01"/>
    <n v="2929"/>
    <n v="56"/>
  </r>
  <r>
    <x v="6"/>
    <x v="51"/>
    <x v="3"/>
    <n v="0.44"/>
    <n v="110.34"/>
    <n v="0"/>
    <n v="0"/>
    <n v="2508"/>
    <n v="57"/>
  </r>
  <r>
    <x v="6"/>
    <x v="52"/>
    <x v="3"/>
    <n v="0.38"/>
    <n v="111.95"/>
    <n v="0"/>
    <n v="0"/>
    <n v="2946"/>
    <n v="58"/>
  </r>
  <r>
    <x v="6"/>
    <x v="76"/>
    <x v="3"/>
    <n v="0.38"/>
    <n v="40.78"/>
    <n v="0"/>
    <n v="0"/>
    <n v="1073"/>
    <n v="58"/>
  </r>
  <r>
    <x v="6"/>
    <x v="69"/>
    <x v="3"/>
    <n v="0.36"/>
    <n v="18.23"/>
    <n v="0"/>
    <n v="0"/>
    <n v="506"/>
    <n v="60"/>
  </r>
  <r>
    <x v="6"/>
    <x v="56"/>
    <x v="3"/>
    <n v="0.27"/>
    <n v="86.1"/>
    <n v="0"/>
    <n v="0"/>
    <n v="3189"/>
    <n v="61"/>
  </r>
  <r>
    <x v="6"/>
    <x v="53"/>
    <x v="3"/>
    <n v="0.26"/>
    <n v="60.29"/>
    <n v="0"/>
    <n v="0"/>
    <n v="2319"/>
    <n v="62"/>
  </r>
  <r>
    <x v="6"/>
    <x v="55"/>
    <x v="3"/>
    <n v="0.25"/>
    <n v="57.72"/>
    <n v="0"/>
    <n v="0"/>
    <n v="2309"/>
    <n v="63"/>
  </r>
  <r>
    <x v="6"/>
    <x v="81"/>
    <x v="3"/>
    <n v="0.19"/>
    <n v="26.43"/>
    <n v="0"/>
    <n v="0"/>
    <n v="1391"/>
    <n v="64"/>
  </r>
  <r>
    <x v="6"/>
    <x v="79"/>
    <x v="3"/>
    <n v="0.18"/>
    <n v="18.989999999999998"/>
    <n v="0"/>
    <n v="0"/>
    <n v="1055"/>
    <n v="65"/>
  </r>
  <r>
    <x v="6"/>
    <x v="57"/>
    <x v="3"/>
    <n v="0.17"/>
    <n v="8.44"/>
    <n v="0"/>
    <n v="0"/>
    <n v="496"/>
    <n v="66"/>
  </r>
  <r>
    <x v="6"/>
    <x v="80"/>
    <x v="3"/>
    <n v="0.16"/>
    <n v="12.87"/>
    <n v="0"/>
    <n v="0"/>
    <n v="804"/>
    <n v="67"/>
  </r>
  <r>
    <x v="6"/>
    <x v="64"/>
    <x v="3"/>
    <n v="0.14000000000000001"/>
    <n v="17.079999999999998"/>
    <n v="0"/>
    <n v="0"/>
    <n v="1220"/>
    <n v="68"/>
  </r>
  <r>
    <x v="6"/>
    <x v="60"/>
    <x v="3"/>
    <n v="0.13"/>
    <n v="45.74"/>
    <n v="0"/>
    <n v="0"/>
    <n v="3518"/>
    <n v="69"/>
  </r>
  <r>
    <x v="6"/>
    <x v="58"/>
    <x v="3"/>
    <n v="0.11"/>
    <n v="8.67"/>
    <n v="0"/>
    <n v="0"/>
    <n v="788"/>
    <n v="70"/>
  </r>
  <r>
    <x v="6"/>
    <x v="59"/>
    <x v="3"/>
    <n v="0.11"/>
    <n v="54.39"/>
    <n v="0"/>
    <n v="0"/>
    <n v="4945"/>
    <n v="70"/>
  </r>
  <r>
    <x v="6"/>
    <x v="66"/>
    <x v="3"/>
    <n v="0.1"/>
    <n v="3.41"/>
    <n v="0"/>
    <n v="0"/>
    <n v="341"/>
    <n v="72"/>
  </r>
  <r>
    <x v="6"/>
    <x v="68"/>
    <x v="3"/>
    <n v="0.09"/>
    <n v="33.659999999999997"/>
    <n v="0"/>
    <n v="0"/>
    <n v="3740"/>
    <n v="73"/>
  </r>
  <r>
    <x v="6"/>
    <x v="62"/>
    <x v="3"/>
    <n v="0.09"/>
    <n v="31.31"/>
    <n v="0"/>
    <n v="0"/>
    <n v="3479"/>
    <n v="73"/>
  </r>
  <r>
    <x v="6"/>
    <x v="63"/>
    <x v="3"/>
    <n v="0.08"/>
    <n v="29.48"/>
    <n v="0"/>
    <n v="0"/>
    <n v="3685"/>
    <n v="75"/>
  </r>
  <r>
    <x v="6"/>
    <x v="78"/>
    <x v="3"/>
    <n v="7.0000000000000007E-2"/>
    <n v="28.34"/>
    <n v="0"/>
    <n v="0"/>
    <n v="4049"/>
    <n v="76"/>
  </r>
  <r>
    <x v="6"/>
    <x v="70"/>
    <x v="3"/>
    <n v="0.05"/>
    <n v="3.87"/>
    <n v="0"/>
    <n v="0"/>
    <n v="774"/>
    <n v="77"/>
  </r>
  <r>
    <x v="6"/>
    <x v="61"/>
    <x v="3"/>
    <n v="0.04"/>
    <n v="5.54"/>
    <n v="0"/>
    <n v="0"/>
    <n v="1385"/>
    <n v="78"/>
  </r>
  <r>
    <x v="6"/>
    <x v="77"/>
    <x v="3"/>
    <n v="0.03"/>
    <n v="2.4300000000000002"/>
    <n v="0"/>
    <n v="0"/>
    <n v="810"/>
    <n v="79"/>
  </r>
  <r>
    <x v="6"/>
    <x v="83"/>
    <x v="3"/>
    <n v="0.03"/>
    <n v="9.11"/>
    <n v="0"/>
    <n v="0"/>
    <n v="3037"/>
    <n v="79"/>
  </r>
  <r>
    <x v="6"/>
    <x v="71"/>
    <x v="3"/>
    <n v="0.03"/>
    <n v="9.19"/>
    <n v="0"/>
    <n v="0"/>
    <n v="3063"/>
    <n v="79"/>
  </r>
  <r>
    <x v="7"/>
    <x v="0"/>
    <x v="0"/>
    <n v="8362.31"/>
    <n v="1205047.3"/>
    <n v="46.73"/>
    <n v="50.32"/>
    <n v="1441"/>
    <n v="1"/>
  </r>
  <r>
    <x v="7"/>
    <x v="1"/>
    <x v="1"/>
    <n v="6488.55"/>
    <n v="842628.56"/>
    <n v="36.26"/>
    <n v="35.18"/>
    <n v="1299"/>
    <n v="2"/>
  </r>
  <r>
    <x v="7"/>
    <x v="2"/>
    <x v="2"/>
    <n v="1210.24"/>
    <n v="131153.97"/>
    <n v="6.76"/>
    <n v="5.48"/>
    <n v="1084"/>
    <n v="3"/>
  </r>
  <r>
    <x v="7"/>
    <x v="4"/>
    <x v="3"/>
    <n v="344.21"/>
    <n v="18841.189999999999"/>
    <n v="1.92"/>
    <n v="0.79"/>
    <n v="547"/>
    <n v="4"/>
  </r>
  <r>
    <x v="7"/>
    <x v="14"/>
    <x v="3"/>
    <n v="175.24"/>
    <n v="5924.95"/>
    <n v="0.98"/>
    <n v="0.25"/>
    <n v="338"/>
    <n v="5"/>
  </r>
  <r>
    <x v="7"/>
    <x v="3"/>
    <x v="3"/>
    <n v="134.66999999999999"/>
    <n v="49753"/>
    <n v="0.75"/>
    <n v="2.08"/>
    <n v="3694"/>
    <n v="6"/>
  </r>
  <r>
    <x v="7"/>
    <x v="5"/>
    <x v="3"/>
    <n v="120.05"/>
    <n v="9147.64"/>
    <n v="0.67"/>
    <n v="0.38"/>
    <n v="762"/>
    <n v="7"/>
  </r>
  <r>
    <x v="7"/>
    <x v="7"/>
    <x v="3"/>
    <n v="99.91"/>
    <n v="1241.8"/>
    <n v="0.56000000000000005"/>
    <n v="0.05"/>
    <n v="124"/>
    <n v="8"/>
  </r>
  <r>
    <x v="7"/>
    <x v="6"/>
    <x v="3"/>
    <n v="98.26"/>
    <n v="9966.68"/>
    <n v="0.55000000000000004"/>
    <n v="0.42"/>
    <n v="1014"/>
    <n v="9"/>
  </r>
  <r>
    <x v="7"/>
    <x v="9"/>
    <x v="3"/>
    <n v="67.400000000000006"/>
    <n v="5065.4399999999996"/>
    <n v="0.38"/>
    <n v="0.21"/>
    <n v="752"/>
    <n v="10"/>
  </r>
  <r>
    <x v="7"/>
    <x v="8"/>
    <x v="3"/>
    <n v="58.11"/>
    <n v="16223.97"/>
    <n v="0.32"/>
    <n v="0.68"/>
    <n v="2792"/>
    <n v="11"/>
  </r>
  <r>
    <x v="7"/>
    <x v="10"/>
    <x v="3"/>
    <n v="57.73"/>
    <n v="7681.65"/>
    <n v="0.32"/>
    <n v="0.32"/>
    <n v="1331"/>
    <n v="12"/>
  </r>
  <r>
    <x v="7"/>
    <x v="11"/>
    <x v="3"/>
    <n v="57.46"/>
    <n v="11947.75"/>
    <n v="0.32"/>
    <n v="0.5"/>
    <n v="2079"/>
    <n v="13"/>
  </r>
  <r>
    <x v="7"/>
    <x v="13"/>
    <x v="3"/>
    <n v="53.57"/>
    <n v="10363.27"/>
    <n v="0.3"/>
    <n v="0.43"/>
    <n v="1935"/>
    <n v="14"/>
  </r>
  <r>
    <x v="7"/>
    <x v="12"/>
    <x v="3"/>
    <n v="48.3"/>
    <n v="9059.27"/>
    <n v="0.27"/>
    <n v="0.38"/>
    <n v="1876"/>
    <n v="15"/>
  </r>
  <r>
    <x v="7"/>
    <x v="16"/>
    <x v="3"/>
    <n v="31.7"/>
    <n v="4277.05"/>
    <n v="0.18"/>
    <n v="0.18"/>
    <n v="1349"/>
    <n v="16"/>
  </r>
  <r>
    <x v="7"/>
    <x v="15"/>
    <x v="3"/>
    <n v="20.399999999999999"/>
    <n v="1416.39"/>
    <n v="0.11"/>
    <n v="0.06"/>
    <n v="694"/>
    <n v="17"/>
  </r>
  <r>
    <x v="7"/>
    <x v="20"/>
    <x v="3"/>
    <n v="17.809999999999999"/>
    <n v="2120.0100000000002"/>
    <n v="0.1"/>
    <n v="0.09"/>
    <n v="1190"/>
    <n v="18"/>
  </r>
  <r>
    <x v="7"/>
    <x v="22"/>
    <x v="3"/>
    <n v="16.09"/>
    <n v="2435.2399999999998"/>
    <n v="0.09"/>
    <n v="0.1"/>
    <n v="1514"/>
    <n v="19"/>
  </r>
  <r>
    <x v="7"/>
    <x v="24"/>
    <x v="3"/>
    <n v="14.76"/>
    <n v="1738.65"/>
    <n v="0.08"/>
    <n v="7.0000000000000007E-2"/>
    <n v="1178"/>
    <n v="20"/>
  </r>
  <r>
    <x v="7"/>
    <x v="34"/>
    <x v="3"/>
    <n v="14.09"/>
    <n v="1653.13"/>
    <n v="0.08"/>
    <n v="7.0000000000000007E-2"/>
    <n v="1173"/>
    <n v="21"/>
  </r>
  <r>
    <x v="7"/>
    <x v="21"/>
    <x v="3"/>
    <n v="13.16"/>
    <n v="3524.25"/>
    <n v="7.0000000000000007E-2"/>
    <n v="0.15"/>
    <n v="2678"/>
    <n v="22"/>
  </r>
  <r>
    <x v="7"/>
    <x v="17"/>
    <x v="3"/>
    <n v="12.37"/>
    <n v="8788.4599999999991"/>
    <n v="7.0000000000000007E-2"/>
    <n v="0.37"/>
    <n v="7105"/>
    <n v="23"/>
  </r>
  <r>
    <x v="7"/>
    <x v="32"/>
    <x v="3"/>
    <n v="10.38"/>
    <n v="445.95"/>
    <n v="0.06"/>
    <n v="0.02"/>
    <n v="430"/>
    <n v="24"/>
  </r>
  <r>
    <x v="7"/>
    <x v="19"/>
    <x v="3"/>
    <n v="10.25"/>
    <n v="2002.37"/>
    <n v="0.06"/>
    <n v="0.08"/>
    <n v="1954"/>
    <n v="25"/>
  </r>
  <r>
    <x v="7"/>
    <x v="23"/>
    <x v="3"/>
    <n v="8.7200000000000006"/>
    <n v="619.96"/>
    <n v="0.05"/>
    <n v="0.03"/>
    <n v="711"/>
    <n v="26"/>
  </r>
  <r>
    <x v="7"/>
    <x v="26"/>
    <x v="3"/>
    <n v="6.15"/>
    <n v="900.17"/>
    <n v="0.03"/>
    <n v="0.04"/>
    <n v="1464"/>
    <n v="27"/>
  </r>
  <r>
    <x v="7"/>
    <x v="25"/>
    <x v="3"/>
    <n v="4.8899999999999997"/>
    <n v="894.05"/>
    <n v="0.03"/>
    <n v="0.04"/>
    <n v="1828"/>
    <n v="28"/>
  </r>
  <r>
    <x v="7"/>
    <x v="29"/>
    <x v="3"/>
    <n v="4.21"/>
    <n v="315.88"/>
    <n v="0.02"/>
    <n v="0.01"/>
    <n v="750"/>
    <n v="29"/>
  </r>
  <r>
    <x v="7"/>
    <x v="28"/>
    <x v="3"/>
    <n v="3.71"/>
    <n v="970.18"/>
    <n v="0.02"/>
    <n v="0.04"/>
    <n v="2615"/>
    <n v="30"/>
  </r>
  <r>
    <x v="7"/>
    <x v="27"/>
    <x v="3"/>
    <n v="3.56"/>
    <n v="647.41999999999996"/>
    <n v="0.02"/>
    <n v="0.03"/>
    <n v="1819"/>
    <n v="31"/>
  </r>
  <r>
    <x v="7"/>
    <x v="18"/>
    <x v="3"/>
    <n v="3.47"/>
    <n v="195.89"/>
    <n v="0.02"/>
    <n v="0.01"/>
    <n v="565"/>
    <n v="32"/>
  </r>
  <r>
    <x v="7"/>
    <x v="30"/>
    <x v="3"/>
    <n v="3.4"/>
    <n v="912.54"/>
    <n v="0.02"/>
    <n v="0.04"/>
    <n v="2684"/>
    <n v="33"/>
  </r>
  <r>
    <x v="7"/>
    <x v="33"/>
    <x v="3"/>
    <n v="3.12"/>
    <n v="40.659999999999997"/>
    <n v="0.02"/>
    <n v="0"/>
    <n v="130"/>
    <n v="34"/>
  </r>
  <r>
    <x v="7"/>
    <x v="75"/>
    <x v="3"/>
    <n v="3.01"/>
    <n v="396.69"/>
    <n v="0.02"/>
    <n v="0.02"/>
    <n v="1318"/>
    <n v="35"/>
  </r>
  <r>
    <x v="7"/>
    <x v="49"/>
    <x v="3"/>
    <n v="2.41"/>
    <n v="297.79000000000002"/>
    <n v="0.01"/>
    <n v="0.01"/>
    <n v="1236"/>
    <n v="36"/>
  </r>
  <r>
    <x v="7"/>
    <x v="47"/>
    <x v="3"/>
    <n v="2.17"/>
    <n v="345.61"/>
    <n v="0.01"/>
    <n v="0.01"/>
    <n v="1593"/>
    <n v="37"/>
  </r>
  <r>
    <x v="7"/>
    <x v="38"/>
    <x v="3"/>
    <n v="2.11"/>
    <n v="281.39999999999998"/>
    <n v="0.01"/>
    <n v="0.01"/>
    <n v="1334"/>
    <n v="38"/>
  </r>
  <r>
    <x v="7"/>
    <x v="48"/>
    <x v="3"/>
    <n v="2.09"/>
    <n v="137.77000000000001"/>
    <n v="0.01"/>
    <n v="0.01"/>
    <n v="659"/>
    <n v="39"/>
  </r>
  <r>
    <x v="7"/>
    <x v="36"/>
    <x v="3"/>
    <n v="1.9"/>
    <n v="567.22"/>
    <n v="0.01"/>
    <n v="0.02"/>
    <n v="2985"/>
    <n v="40"/>
  </r>
  <r>
    <x v="7"/>
    <x v="54"/>
    <x v="3"/>
    <n v="1.9"/>
    <n v="158.38999999999999"/>
    <n v="0.01"/>
    <n v="0.01"/>
    <n v="834"/>
    <n v="40"/>
  </r>
  <r>
    <x v="7"/>
    <x v="35"/>
    <x v="3"/>
    <n v="1.57"/>
    <n v="84.95"/>
    <n v="0.01"/>
    <n v="0"/>
    <n v="541"/>
    <n v="42"/>
  </r>
  <r>
    <x v="7"/>
    <x v="37"/>
    <x v="3"/>
    <n v="1.54"/>
    <n v="263.72000000000003"/>
    <n v="0.01"/>
    <n v="0.01"/>
    <n v="1712"/>
    <n v="43"/>
  </r>
  <r>
    <x v="7"/>
    <x v="42"/>
    <x v="3"/>
    <n v="1.1000000000000001"/>
    <n v="213.38"/>
    <n v="0.01"/>
    <n v="0.01"/>
    <n v="1940"/>
    <n v="44"/>
  </r>
  <r>
    <x v="7"/>
    <x v="82"/>
    <x v="3"/>
    <n v="1.05"/>
    <n v="541.53"/>
    <n v="0.01"/>
    <n v="0.02"/>
    <n v="5157"/>
    <n v="45"/>
  </r>
  <r>
    <x v="7"/>
    <x v="43"/>
    <x v="3"/>
    <n v="0.88"/>
    <n v="107.13"/>
    <n v="0"/>
    <n v="0"/>
    <n v="1217"/>
    <n v="46"/>
  </r>
  <r>
    <x v="7"/>
    <x v="46"/>
    <x v="3"/>
    <n v="0.8"/>
    <n v="254.47"/>
    <n v="0"/>
    <n v="0.01"/>
    <n v="3181"/>
    <n v="47"/>
  </r>
  <r>
    <x v="7"/>
    <x v="65"/>
    <x v="3"/>
    <n v="0.78"/>
    <n v="59.59"/>
    <n v="0"/>
    <n v="0"/>
    <n v="764"/>
    <n v="48"/>
  </r>
  <r>
    <x v="7"/>
    <x v="50"/>
    <x v="3"/>
    <n v="0.75"/>
    <n v="135.57"/>
    <n v="0"/>
    <n v="0.01"/>
    <n v="1808"/>
    <n v="49"/>
  </r>
  <r>
    <x v="7"/>
    <x v="67"/>
    <x v="3"/>
    <n v="0.74"/>
    <n v="842.35"/>
    <n v="0"/>
    <n v="0.04"/>
    <n v="11383"/>
    <n v="50"/>
  </r>
  <r>
    <x v="7"/>
    <x v="40"/>
    <x v="3"/>
    <n v="0.72"/>
    <n v="243.46"/>
    <n v="0"/>
    <n v="0.01"/>
    <n v="3381"/>
    <n v="51"/>
  </r>
  <r>
    <x v="7"/>
    <x v="31"/>
    <x v="3"/>
    <n v="0.7"/>
    <n v="186.42"/>
    <n v="0"/>
    <n v="0.01"/>
    <n v="2663"/>
    <n v="52"/>
  </r>
  <r>
    <x v="7"/>
    <x v="41"/>
    <x v="3"/>
    <n v="0.68"/>
    <n v="200.19"/>
    <n v="0"/>
    <n v="0.01"/>
    <n v="2944"/>
    <n v="53"/>
  </r>
  <r>
    <x v="7"/>
    <x v="39"/>
    <x v="3"/>
    <n v="0.63"/>
    <n v="32.69"/>
    <n v="0"/>
    <n v="0"/>
    <n v="519"/>
    <n v="54"/>
  </r>
  <r>
    <x v="7"/>
    <x v="45"/>
    <x v="3"/>
    <n v="0.56999999999999995"/>
    <n v="178.31"/>
    <n v="0"/>
    <n v="0.01"/>
    <n v="3128"/>
    <n v="55"/>
  </r>
  <r>
    <x v="7"/>
    <x v="44"/>
    <x v="3"/>
    <n v="0.51"/>
    <n v="54.6"/>
    <n v="0"/>
    <n v="0"/>
    <n v="1071"/>
    <n v="56"/>
  </r>
  <r>
    <x v="7"/>
    <x v="51"/>
    <x v="3"/>
    <n v="0.46"/>
    <n v="116.7"/>
    <n v="0"/>
    <n v="0"/>
    <n v="2537"/>
    <n v="57"/>
  </r>
  <r>
    <x v="7"/>
    <x v="76"/>
    <x v="3"/>
    <n v="0.44"/>
    <n v="52.11"/>
    <n v="0"/>
    <n v="0"/>
    <n v="1184"/>
    <n v="58"/>
  </r>
  <r>
    <x v="7"/>
    <x v="52"/>
    <x v="3"/>
    <n v="0.39"/>
    <n v="118.54"/>
    <n v="0"/>
    <n v="0"/>
    <n v="3039"/>
    <n v="59"/>
  </r>
  <r>
    <x v="7"/>
    <x v="69"/>
    <x v="3"/>
    <n v="0.37"/>
    <n v="17.579999999999998"/>
    <n v="0"/>
    <n v="0"/>
    <n v="475"/>
    <n v="60"/>
  </r>
  <r>
    <x v="7"/>
    <x v="56"/>
    <x v="3"/>
    <n v="0.3"/>
    <n v="90.46"/>
    <n v="0"/>
    <n v="0"/>
    <n v="3015"/>
    <n v="61"/>
  </r>
  <r>
    <x v="7"/>
    <x v="53"/>
    <x v="3"/>
    <n v="0.27"/>
    <n v="63.56"/>
    <n v="0"/>
    <n v="0"/>
    <n v="2354"/>
    <n v="62"/>
  </r>
  <r>
    <x v="7"/>
    <x v="55"/>
    <x v="3"/>
    <n v="0.24"/>
    <n v="58.02"/>
    <n v="0"/>
    <n v="0"/>
    <n v="2418"/>
    <n v="63"/>
  </r>
  <r>
    <x v="7"/>
    <x v="79"/>
    <x v="3"/>
    <n v="0.23"/>
    <n v="25.72"/>
    <n v="0"/>
    <n v="0"/>
    <n v="1118"/>
    <n v="64"/>
  </r>
  <r>
    <x v="7"/>
    <x v="81"/>
    <x v="3"/>
    <n v="0.22"/>
    <n v="28.84"/>
    <n v="0"/>
    <n v="0"/>
    <n v="1311"/>
    <n v="65"/>
  </r>
  <r>
    <x v="7"/>
    <x v="80"/>
    <x v="3"/>
    <n v="0.17"/>
    <n v="12.63"/>
    <n v="0"/>
    <n v="0"/>
    <n v="743"/>
    <n v="66"/>
  </r>
  <r>
    <x v="7"/>
    <x v="57"/>
    <x v="3"/>
    <n v="0.16"/>
    <n v="7.15"/>
    <n v="0"/>
    <n v="0"/>
    <n v="447"/>
    <n v="67"/>
  </r>
  <r>
    <x v="7"/>
    <x v="64"/>
    <x v="3"/>
    <n v="0.15"/>
    <n v="16.93"/>
    <n v="0"/>
    <n v="0"/>
    <n v="1129"/>
    <n v="68"/>
  </r>
  <r>
    <x v="7"/>
    <x v="60"/>
    <x v="3"/>
    <n v="0.13"/>
    <n v="47.44"/>
    <n v="0"/>
    <n v="0"/>
    <n v="3649"/>
    <n v="69"/>
  </r>
  <r>
    <x v="7"/>
    <x v="59"/>
    <x v="3"/>
    <n v="0.11"/>
    <n v="58.73"/>
    <n v="0"/>
    <n v="0"/>
    <n v="5339"/>
    <n v="70"/>
  </r>
  <r>
    <x v="7"/>
    <x v="58"/>
    <x v="3"/>
    <n v="0.1"/>
    <n v="8.26"/>
    <n v="0"/>
    <n v="0"/>
    <n v="826"/>
    <n v="71"/>
  </r>
  <r>
    <x v="7"/>
    <x v="68"/>
    <x v="3"/>
    <n v="0.09"/>
    <n v="33.47"/>
    <n v="0"/>
    <n v="0"/>
    <n v="3719"/>
    <n v="72"/>
  </r>
  <r>
    <x v="7"/>
    <x v="66"/>
    <x v="3"/>
    <n v="0.09"/>
    <n v="3.02"/>
    <n v="0"/>
    <n v="0"/>
    <n v="336"/>
    <n v="72"/>
  </r>
  <r>
    <x v="7"/>
    <x v="63"/>
    <x v="3"/>
    <n v="0.09"/>
    <n v="31.21"/>
    <n v="0"/>
    <n v="0"/>
    <n v="3468"/>
    <n v="72"/>
  </r>
  <r>
    <x v="7"/>
    <x v="62"/>
    <x v="3"/>
    <n v="0.08"/>
    <n v="29.3"/>
    <n v="0"/>
    <n v="0"/>
    <n v="3663"/>
    <n v="75"/>
  </r>
  <r>
    <x v="7"/>
    <x v="78"/>
    <x v="3"/>
    <n v="7.0000000000000007E-2"/>
    <n v="27.48"/>
    <n v="0"/>
    <n v="0"/>
    <n v="3926"/>
    <n v="76"/>
  </r>
  <r>
    <x v="7"/>
    <x v="61"/>
    <x v="3"/>
    <n v="0.06"/>
    <n v="6.78"/>
    <n v="0"/>
    <n v="0"/>
    <n v="1130"/>
    <n v="77"/>
  </r>
  <r>
    <x v="7"/>
    <x v="70"/>
    <x v="3"/>
    <n v="0.04"/>
    <n v="2.6"/>
    <n v="0"/>
    <n v="0"/>
    <n v="650"/>
    <n v="78"/>
  </r>
  <r>
    <x v="7"/>
    <x v="84"/>
    <x v="3"/>
    <n v="0.04"/>
    <n v="4.79"/>
    <n v="0"/>
    <n v="0"/>
    <n v="1198"/>
    <n v="78"/>
  </r>
  <r>
    <x v="7"/>
    <x v="85"/>
    <x v="3"/>
    <n v="0.03"/>
    <n v="6.73"/>
    <n v="0"/>
    <n v="0"/>
    <n v="2243"/>
    <n v="80"/>
  </r>
  <r>
    <x v="7"/>
    <x v="71"/>
    <x v="3"/>
    <n v="0.03"/>
    <n v="9.5"/>
    <n v="0"/>
    <n v="0"/>
    <n v="3167"/>
    <n v="80"/>
  </r>
  <r>
    <x v="7"/>
    <x v="77"/>
    <x v="3"/>
    <n v="0.02"/>
    <n v="1.72"/>
    <n v="0"/>
    <n v="0"/>
    <n v="860"/>
    <n v="82"/>
  </r>
  <r>
    <x v="7"/>
    <x v="83"/>
    <x v="3"/>
    <n v="0.02"/>
    <n v="6.66"/>
    <n v="0"/>
    <n v="0"/>
    <n v="3330"/>
    <n v="82"/>
  </r>
  <r>
    <x v="8"/>
    <x v="0"/>
    <x v="0"/>
    <n v="8682.08"/>
    <n v="1256541.0900000001"/>
    <n v="46.48"/>
    <n v="49.98"/>
    <n v="1447"/>
    <n v="1"/>
  </r>
  <r>
    <x v="8"/>
    <x v="1"/>
    <x v="1"/>
    <n v="6740.42"/>
    <n v="884735.12"/>
    <n v="36.090000000000003"/>
    <n v="35.19"/>
    <n v="1313"/>
    <n v="2"/>
  </r>
  <r>
    <x v="8"/>
    <x v="2"/>
    <x v="2"/>
    <n v="1277.56"/>
    <n v="138068.97"/>
    <n v="6.84"/>
    <n v="5.49"/>
    <n v="1081"/>
    <n v="3"/>
  </r>
  <r>
    <x v="8"/>
    <x v="4"/>
    <x v="3"/>
    <n v="386.21"/>
    <n v="21350.35"/>
    <n v="2.0699999999999998"/>
    <n v="0.85"/>
    <n v="553"/>
    <n v="4"/>
  </r>
  <r>
    <x v="8"/>
    <x v="14"/>
    <x v="3"/>
    <n v="203.42"/>
    <n v="7054.28"/>
    <n v="1.0900000000000001"/>
    <n v="0.28000000000000003"/>
    <n v="347"/>
    <n v="5"/>
  </r>
  <r>
    <x v="8"/>
    <x v="3"/>
    <x v="3"/>
    <n v="141.94999999999999"/>
    <n v="55242.720000000001"/>
    <n v="0.76"/>
    <n v="2.2000000000000002"/>
    <n v="3892"/>
    <n v="6"/>
  </r>
  <r>
    <x v="8"/>
    <x v="5"/>
    <x v="3"/>
    <n v="120.03"/>
    <n v="9683.82"/>
    <n v="0.64"/>
    <n v="0.39"/>
    <n v="807"/>
    <n v="7"/>
  </r>
  <r>
    <x v="8"/>
    <x v="7"/>
    <x v="3"/>
    <n v="110.38"/>
    <n v="1415.4"/>
    <n v="0.59"/>
    <n v="0.06"/>
    <n v="128"/>
    <n v="8"/>
  </r>
  <r>
    <x v="8"/>
    <x v="6"/>
    <x v="3"/>
    <n v="98.68"/>
    <n v="10343.44"/>
    <n v="0.53"/>
    <n v="0.41"/>
    <n v="1048"/>
    <n v="9"/>
  </r>
  <r>
    <x v="8"/>
    <x v="9"/>
    <x v="3"/>
    <n v="70.19"/>
    <n v="5280.89"/>
    <n v="0.38"/>
    <n v="0.21"/>
    <n v="752"/>
    <n v="10"/>
  </r>
  <r>
    <x v="8"/>
    <x v="13"/>
    <x v="3"/>
    <n v="64.599999999999994"/>
    <n v="11243.73"/>
    <n v="0.35"/>
    <n v="0.45"/>
    <n v="1741"/>
    <n v="11"/>
  </r>
  <r>
    <x v="8"/>
    <x v="11"/>
    <x v="3"/>
    <n v="63.19"/>
    <n v="14806.6"/>
    <n v="0.34"/>
    <n v="0.59"/>
    <n v="2343"/>
    <n v="12"/>
  </r>
  <r>
    <x v="8"/>
    <x v="10"/>
    <x v="3"/>
    <n v="59.74"/>
    <n v="7862.6"/>
    <n v="0.32"/>
    <n v="0.31"/>
    <n v="1316"/>
    <n v="13"/>
  </r>
  <r>
    <x v="8"/>
    <x v="8"/>
    <x v="3"/>
    <n v="59.47"/>
    <n v="16689.54"/>
    <n v="0.32"/>
    <n v="0.66"/>
    <n v="2806"/>
    <n v="14"/>
  </r>
  <r>
    <x v="8"/>
    <x v="12"/>
    <x v="3"/>
    <n v="53.52"/>
    <n v="9518.9599999999991"/>
    <n v="0.28999999999999998"/>
    <n v="0.38"/>
    <n v="1779"/>
    <n v="15"/>
  </r>
  <r>
    <x v="8"/>
    <x v="16"/>
    <x v="3"/>
    <n v="33.92"/>
    <n v="4674.33"/>
    <n v="0.18"/>
    <n v="0.19"/>
    <n v="1378"/>
    <n v="16"/>
  </r>
  <r>
    <x v="8"/>
    <x v="15"/>
    <x v="3"/>
    <n v="20.14"/>
    <n v="1447.35"/>
    <n v="0.11"/>
    <n v="0.06"/>
    <n v="719"/>
    <n v="17"/>
  </r>
  <r>
    <x v="8"/>
    <x v="20"/>
    <x v="3"/>
    <n v="19.850000000000001"/>
    <n v="2330.2199999999998"/>
    <n v="0.11"/>
    <n v="0.09"/>
    <n v="1174"/>
    <n v="18"/>
  </r>
  <r>
    <x v="8"/>
    <x v="24"/>
    <x v="3"/>
    <n v="16.510000000000002"/>
    <n v="1834.83"/>
    <n v="0.09"/>
    <n v="7.0000000000000007E-2"/>
    <n v="1111"/>
    <n v="19"/>
  </r>
  <r>
    <x v="8"/>
    <x v="22"/>
    <x v="3"/>
    <n v="16.21"/>
    <n v="2493.29"/>
    <n v="0.09"/>
    <n v="0.1"/>
    <n v="1538"/>
    <n v="20"/>
  </r>
  <r>
    <x v="8"/>
    <x v="32"/>
    <x v="3"/>
    <n v="13.59"/>
    <n v="500.88"/>
    <n v="7.0000000000000007E-2"/>
    <n v="0.02"/>
    <n v="369"/>
    <n v="21"/>
  </r>
  <r>
    <x v="8"/>
    <x v="21"/>
    <x v="3"/>
    <n v="13.48"/>
    <n v="3700.3"/>
    <n v="7.0000000000000007E-2"/>
    <n v="0.15"/>
    <n v="2745"/>
    <n v="22"/>
  </r>
  <r>
    <x v="8"/>
    <x v="34"/>
    <x v="3"/>
    <n v="13.27"/>
    <n v="1762.42"/>
    <n v="7.0000000000000007E-2"/>
    <n v="7.0000000000000007E-2"/>
    <n v="1328"/>
    <n v="23"/>
  </r>
  <r>
    <x v="8"/>
    <x v="17"/>
    <x v="3"/>
    <n v="12.14"/>
    <n v="8443.0499999999993"/>
    <n v="0.06"/>
    <n v="0.34"/>
    <n v="6955"/>
    <n v="24"/>
  </r>
  <r>
    <x v="8"/>
    <x v="19"/>
    <x v="3"/>
    <n v="10.67"/>
    <n v="2219.9499999999998"/>
    <n v="0.06"/>
    <n v="0.09"/>
    <n v="2081"/>
    <n v="25"/>
  </r>
  <r>
    <x v="8"/>
    <x v="23"/>
    <x v="3"/>
    <n v="9.14"/>
    <n v="656.92"/>
    <n v="0.05"/>
    <n v="0.03"/>
    <n v="719"/>
    <n v="26"/>
  </r>
  <r>
    <x v="8"/>
    <x v="26"/>
    <x v="3"/>
    <n v="6.4"/>
    <n v="950.85"/>
    <n v="0.03"/>
    <n v="0.04"/>
    <n v="1486"/>
    <n v="27"/>
  </r>
  <r>
    <x v="8"/>
    <x v="25"/>
    <x v="3"/>
    <n v="5.09"/>
    <n v="982.11"/>
    <n v="0.03"/>
    <n v="0.04"/>
    <n v="1929"/>
    <n v="28"/>
  </r>
  <r>
    <x v="8"/>
    <x v="29"/>
    <x v="3"/>
    <n v="4.7"/>
    <n v="341.19"/>
    <n v="0.03"/>
    <n v="0.01"/>
    <n v="726"/>
    <n v="29"/>
  </r>
  <r>
    <x v="8"/>
    <x v="27"/>
    <x v="3"/>
    <n v="4.0199999999999996"/>
    <n v="723.88"/>
    <n v="0.02"/>
    <n v="0.03"/>
    <n v="1801"/>
    <n v="30"/>
  </r>
  <r>
    <x v="8"/>
    <x v="33"/>
    <x v="3"/>
    <n v="3.9"/>
    <n v="50.01"/>
    <n v="0.02"/>
    <n v="0"/>
    <n v="128"/>
    <n v="31"/>
  </r>
  <r>
    <x v="8"/>
    <x v="28"/>
    <x v="3"/>
    <n v="3.85"/>
    <n v="992.9"/>
    <n v="0.02"/>
    <n v="0.04"/>
    <n v="2579"/>
    <n v="32"/>
  </r>
  <r>
    <x v="8"/>
    <x v="30"/>
    <x v="3"/>
    <n v="3.6"/>
    <n v="953.88"/>
    <n v="0.02"/>
    <n v="0.04"/>
    <n v="2650"/>
    <n v="33"/>
  </r>
  <r>
    <x v="8"/>
    <x v="49"/>
    <x v="3"/>
    <n v="3.58"/>
    <n v="428.68"/>
    <n v="0.02"/>
    <n v="0.02"/>
    <n v="1197"/>
    <n v="34"/>
  </r>
  <r>
    <x v="8"/>
    <x v="18"/>
    <x v="3"/>
    <n v="3.23"/>
    <n v="187.83"/>
    <n v="0.02"/>
    <n v="0.01"/>
    <n v="582"/>
    <n v="35"/>
  </r>
  <r>
    <x v="8"/>
    <x v="54"/>
    <x v="3"/>
    <n v="3.02"/>
    <n v="180.55"/>
    <n v="0.02"/>
    <n v="0.01"/>
    <n v="598"/>
    <n v="36"/>
  </r>
  <r>
    <x v="8"/>
    <x v="75"/>
    <x v="3"/>
    <n v="2.99"/>
    <n v="407.88"/>
    <n v="0.02"/>
    <n v="0.02"/>
    <n v="1364"/>
    <n v="37"/>
  </r>
  <r>
    <x v="8"/>
    <x v="48"/>
    <x v="3"/>
    <n v="2.58"/>
    <n v="165.88"/>
    <n v="0.01"/>
    <n v="0.01"/>
    <n v="643"/>
    <n v="38"/>
  </r>
  <r>
    <x v="8"/>
    <x v="38"/>
    <x v="3"/>
    <n v="2.36"/>
    <n v="308.47000000000003"/>
    <n v="0.01"/>
    <n v="0.01"/>
    <n v="1307"/>
    <n v="39"/>
  </r>
  <r>
    <x v="8"/>
    <x v="47"/>
    <x v="3"/>
    <n v="1.99"/>
    <n v="258.89"/>
    <n v="0.01"/>
    <n v="0.01"/>
    <n v="1301"/>
    <n v="40"/>
  </r>
  <r>
    <x v="8"/>
    <x v="36"/>
    <x v="3"/>
    <n v="1.8"/>
    <n v="528.32000000000005"/>
    <n v="0.01"/>
    <n v="0.02"/>
    <n v="2935"/>
    <n v="41"/>
  </r>
  <r>
    <x v="8"/>
    <x v="35"/>
    <x v="3"/>
    <n v="1.63"/>
    <n v="92.27"/>
    <n v="0.01"/>
    <n v="0"/>
    <n v="566"/>
    <n v="42"/>
  </r>
  <r>
    <x v="8"/>
    <x v="37"/>
    <x v="3"/>
    <n v="1.56"/>
    <n v="268.08999999999997"/>
    <n v="0.01"/>
    <n v="0.01"/>
    <n v="1719"/>
    <n v="43"/>
  </r>
  <r>
    <x v="8"/>
    <x v="82"/>
    <x v="3"/>
    <n v="1.3"/>
    <n v="560.96"/>
    <n v="0.01"/>
    <n v="0.02"/>
    <n v="4315"/>
    <n v="44"/>
  </r>
  <r>
    <x v="8"/>
    <x v="50"/>
    <x v="3"/>
    <n v="1.25"/>
    <n v="218.46"/>
    <n v="0.01"/>
    <n v="0.01"/>
    <n v="1748"/>
    <n v="45"/>
  </r>
  <r>
    <x v="8"/>
    <x v="42"/>
    <x v="3"/>
    <n v="1.06"/>
    <n v="226.65"/>
    <n v="0.01"/>
    <n v="0.01"/>
    <n v="2138"/>
    <n v="46"/>
  </r>
  <r>
    <x v="8"/>
    <x v="43"/>
    <x v="3"/>
    <n v="1.03"/>
    <n v="124.36"/>
    <n v="0.01"/>
    <n v="0"/>
    <n v="1207"/>
    <n v="47"/>
  </r>
  <r>
    <x v="8"/>
    <x v="46"/>
    <x v="3"/>
    <n v="0.87"/>
    <n v="282.69"/>
    <n v="0"/>
    <n v="0.01"/>
    <n v="3249"/>
    <n v="48"/>
  </r>
  <r>
    <x v="8"/>
    <x v="31"/>
    <x v="3"/>
    <n v="0.8"/>
    <n v="202.18"/>
    <n v="0"/>
    <n v="0.01"/>
    <n v="2527"/>
    <n v="49"/>
  </r>
  <r>
    <x v="8"/>
    <x v="67"/>
    <x v="3"/>
    <n v="0.8"/>
    <n v="954.81"/>
    <n v="0"/>
    <n v="0.04"/>
    <n v="11935"/>
    <n v="49"/>
  </r>
  <r>
    <x v="8"/>
    <x v="65"/>
    <x v="3"/>
    <n v="0.74"/>
    <n v="58.21"/>
    <n v="0"/>
    <n v="0"/>
    <n v="787"/>
    <n v="51"/>
  </r>
  <r>
    <x v="8"/>
    <x v="40"/>
    <x v="3"/>
    <n v="0.73"/>
    <n v="241.85"/>
    <n v="0"/>
    <n v="0.01"/>
    <n v="3313"/>
    <n v="52"/>
  </r>
  <r>
    <x v="8"/>
    <x v="41"/>
    <x v="3"/>
    <n v="0.71"/>
    <n v="211.09"/>
    <n v="0"/>
    <n v="0.01"/>
    <n v="2973"/>
    <n v="53"/>
  </r>
  <r>
    <x v="8"/>
    <x v="45"/>
    <x v="3"/>
    <n v="0.6"/>
    <n v="184.67"/>
    <n v="0"/>
    <n v="0.01"/>
    <n v="3078"/>
    <n v="54"/>
  </r>
  <r>
    <x v="8"/>
    <x v="76"/>
    <x v="3"/>
    <n v="0.56999999999999995"/>
    <n v="63.39"/>
    <n v="0"/>
    <n v="0"/>
    <n v="1112"/>
    <n v="55"/>
  </r>
  <r>
    <x v="8"/>
    <x v="44"/>
    <x v="3"/>
    <n v="0.54"/>
    <n v="56.9"/>
    <n v="0"/>
    <n v="0"/>
    <n v="1054"/>
    <n v="56"/>
  </r>
  <r>
    <x v="8"/>
    <x v="39"/>
    <x v="3"/>
    <n v="0.49"/>
    <n v="26.92"/>
    <n v="0"/>
    <n v="0"/>
    <n v="549"/>
    <n v="57"/>
  </r>
  <r>
    <x v="8"/>
    <x v="51"/>
    <x v="3"/>
    <n v="0.48"/>
    <n v="122.06"/>
    <n v="0"/>
    <n v="0"/>
    <n v="2543"/>
    <n v="58"/>
  </r>
  <r>
    <x v="8"/>
    <x v="52"/>
    <x v="3"/>
    <n v="0.45"/>
    <n v="132.55000000000001"/>
    <n v="0"/>
    <n v="0.01"/>
    <n v="2946"/>
    <n v="59"/>
  </r>
  <r>
    <x v="8"/>
    <x v="69"/>
    <x v="3"/>
    <n v="0.43"/>
    <n v="20.47"/>
    <n v="0"/>
    <n v="0"/>
    <n v="476"/>
    <n v="60"/>
  </r>
  <r>
    <x v="8"/>
    <x v="79"/>
    <x v="3"/>
    <n v="0.32"/>
    <n v="31.91"/>
    <n v="0"/>
    <n v="0"/>
    <n v="997"/>
    <n v="61"/>
  </r>
  <r>
    <x v="8"/>
    <x v="81"/>
    <x v="3"/>
    <n v="0.32"/>
    <n v="35.29"/>
    <n v="0"/>
    <n v="0"/>
    <n v="1103"/>
    <n v="61"/>
  </r>
  <r>
    <x v="8"/>
    <x v="56"/>
    <x v="3"/>
    <n v="0.3"/>
    <n v="91.04"/>
    <n v="0"/>
    <n v="0"/>
    <n v="3035"/>
    <n v="63"/>
  </r>
  <r>
    <x v="8"/>
    <x v="53"/>
    <x v="3"/>
    <n v="0.27"/>
    <n v="64.81"/>
    <n v="0"/>
    <n v="0"/>
    <n v="2400"/>
    <n v="64"/>
  </r>
  <r>
    <x v="8"/>
    <x v="55"/>
    <x v="3"/>
    <n v="0.25"/>
    <n v="59.72"/>
    <n v="0"/>
    <n v="0"/>
    <n v="2389"/>
    <n v="65"/>
  </r>
  <r>
    <x v="8"/>
    <x v="80"/>
    <x v="3"/>
    <n v="0.2"/>
    <n v="14.26"/>
    <n v="0"/>
    <n v="0"/>
    <n v="713"/>
    <n v="66"/>
  </r>
  <r>
    <x v="8"/>
    <x v="57"/>
    <x v="3"/>
    <n v="0.17"/>
    <n v="8.6300000000000008"/>
    <n v="0"/>
    <n v="0"/>
    <n v="508"/>
    <n v="67"/>
  </r>
  <r>
    <x v="8"/>
    <x v="61"/>
    <x v="3"/>
    <n v="0.17"/>
    <n v="16.25"/>
    <n v="0"/>
    <n v="0"/>
    <n v="956"/>
    <n v="67"/>
  </r>
  <r>
    <x v="8"/>
    <x v="64"/>
    <x v="3"/>
    <n v="0.17"/>
    <n v="19.16"/>
    <n v="0"/>
    <n v="0"/>
    <n v="1127"/>
    <n v="67"/>
  </r>
  <r>
    <x v="8"/>
    <x v="60"/>
    <x v="3"/>
    <n v="0.13"/>
    <n v="49.81"/>
    <n v="0"/>
    <n v="0"/>
    <n v="3832"/>
    <n v="70"/>
  </r>
  <r>
    <x v="8"/>
    <x v="58"/>
    <x v="3"/>
    <n v="0.1"/>
    <n v="7.77"/>
    <n v="0"/>
    <n v="0"/>
    <n v="777"/>
    <n v="71"/>
  </r>
  <r>
    <x v="8"/>
    <x v="66"/>
    <x v="3"/>
    <n v="0.1"/>
    <n v="3.01"/>
    <n v="0"/>
    <n v="0"/>
    <n v="301"/>
    <n v="71"/>
  </r>
  <r>
    <x v="8"/>
    <x v="68"/>
    <x v="3"/>
    <n v="0.1"/>
    <n v="35.020000000000003"/>
    <n v="0"/>
    <n v="0"/>
    <n v="3502"/>
    <n v="71"/>
  </r>
  <r>
    <x v="8"/>
    <x v="63"/>
    <x v="3"/>
    <n v="0.09"/>
    <n v="32.950000000000003"/>
    <n v="0"/>
    <n v="0"/>
    <n v="3661"/>
    <n v="74"/>
  </r>
  <r>
    <x v="8"/>
    <x v="59"/>
    <x v="3"/>
    <n v="7.0000000000000007E-2"/>
    <n v="25.75"/>
    <n v="0"/>
    <n v="0"/>
    <n v="3679"/>
    <n v="75"/>
  </r>
  <r>
    <x v="8"/>
    <x v="62"/>
    <x v="3"/>
    <n v="7.0000000000000007E-2"/>
    <n v="29.97"/>
    <n v="0"/>
    <n v="0"/>
    <n v="4281"/>
    <n v="75"/>
  </r>
  <r>
    <x v="8"/>
    <x v="84"/>
    <x v="3"/>
    <n v="0.06"/>
    <n v="8.77"/>
    <n v="0"/>
    <n v="0"/>
    <n v="1462"/>
    <n v="77"/>
  </r>
  <r>
    <x v="8"/>
    <x v="85"/>
    <x v="3"/>
    <n v="0.06"/>
    <n v="12.79"/>
    <n v="0"/>
    <n v="0"/>
    <n v="2132"/>
    <n v="77"/>
  </r>
  <r>
    <x v="8"/>
    <x v="70"/>
    <x v="3"/>
    <n v="0.04"/>
    <n v="2.27"/>
    <n v="0"/>
    <n v="0"/>
    <n v="568"/>
    <n v="79"/>
  </r>
  <r>
    <x v="8"/>
    <x v="86"/>
    <x v="3"/>
    <n v="0.03"/>
    <n v="2.21"/>
    <n v="0"/>
    <n v="0"/>
    <n v="737"/>
    <n v="80"/>
  </r>
  <r>
    <x v="8"/>
    <x v="71"/>
    <x v="3"/>
    <n v="0.02"/>
    <n v="8.8699999999999992"/>
    <n v="0"/>
    <n v="0"/>
    <n v="4435"/>
    <n v="81"/>
  </r>
  <r>
    <x v="8"/>
    <x v="83"/>
    <x v="3"/>
    <n v="0.02"/>
    <n v="7.44"/>
    <n v="0"/>
    <n v="0"/>
    <n v="3720"/>
    <n v="81"/>
  </r>
  <r>
    <x v="9"/>
    <x v="0"/>
    <x v="0"/>
    <n v="8547.0400000000009"/>
    <n v="1198690.03"/>
    <n v="46.46"/>
    <n v="49.86"/>
    <n v="1402"/>
    <n v="1"/>
  </r>
  <r>
    <x v="9"/>
    <x v="1"/>
    <x v="1"/>
    <n v="6540.92"/>
    <n v="840931.06"/>
    <n v="35.56"/>
    <n v="34.979999999999997"/>
    <n v="1286"/>
    <n v="2"/>
  </r>
  <r>
    <x v="9"/>
    <x v="2"/>
    <x v="2"/>
    <n v="1269.1600000000001"/>
    <n v="134171.16"/>
    <n v="6.9"/>
    <n v="5.58"/>
    <n v="1057"/>
    <n v="3"/>
  </r>
  <r>
    <x v="9"/>
    <x v="4"/>
    <x v="3"/>
    <n v="406.01"/>
    <n v="21814.51"/>
    <n v="2.21"/>
    <n v="0.91"/>
    <n v="537"/>
    <n v="4"/>
  </r>
  <r>
    <x v="9"/>
    <x v="14"/>
    <x v="3"/>
    <n v="218.96"/>
    <n v="7716.48"/>
    <n v="1.19"/>
    <n v="0.32"/>
    <n v="352"/>
    <n v="5"/>
  </r>
  <r>
    <x v="9"/>
    <x v="3"/>
    <x v="3"/>
    <n v="138.32"/>
    <n v="51384.11"/>
    <n v="0.75"/>
    <n v="2.14"/>
    <n v="3715"/>
    <n v="6"/>
  </r>
  <r>
    <x v="9"/>
    <x v="5"/>
    <x v="3"/>
    <n v="126.27"/>
    <n v="9388.51"/>
    <n v="0.69"/>
    <n v="0.39"/>
    <n v="744"/>
    <n v="7"/>
  </r>
  <r>
    <x v="9"/>
    <x v="7"/>
    <x v="3"/>
    <n v="112.75"/>
    <n v="1439.64"/>
    <n v="0.61"/>
    <n v="0.06"/>
    <n v="128"/>
    <n v="8"/>
  </r>
  <r>
    <x v="9"/>
    <x v="6"/>
    <x v="3"/>
    <n v="93.25"/>
    <n v="9942.48"/>
    <n v="0.51"/>
    <n v="0.41"/>
    <n v="1066"/>
    <n v="9"/>
  </r>
  <r>
    <x v="9"/>
    <x v="13"/>
    <x v="3"/>
    <n v="73.069999999999993"/>
    <n v="11725.85"/>
    <n v="0.4"/>
    <n v="0.49"/>
    <n v="1605"/>
    <n v="10"/>
  </r>
  <r>
    <x v="9"/>
    <x v="9"/>
    <x v="3"/>
    <n v="67.48"/>
    <n v="4989.34"/>
    <n v="0.37"/>
    <n v="0.21"/>
    <n v="739"/>
    <n v="11"/>
  </r>
  <r>
    <x v="9"/>
    <x v="11"/>
    <x v="3"/>
    <n v="67.459999999999994"/>
    <n v="14297.8"/>
    <n v="0.37"/>
    <n v="0.59"/>
    <n v="2119"/>
    <n v="12"/>
  </r>
  <r>
    <x v="9"/>
    <x v="8"/>
    <x v="3"/>
    <n v="61.82"/>
    <n v="15983.92"/>
    <n v="0.34"/>
    <n v="0.66"/>
    <n v="2586"/>
    <n v="13"/>
  </r>
  <r>
    <x v="9"/>
    <x v="10"/>
    <x v="3"/>
    <n v="60.36"/>
    <n v="7735.27"/>
    <n v="0.33"/>
    <n v="0.32"/>
    <n v="1282"/>
    <n v="14"/>
  </r>
  <r>
    <x v="9"/>
    <x v="12"/>
    <x v="3"/>
    <n v="52.55"/>
    <n v="8917.32"/>
    <n v="0.28999999999999998"/>
    <n v="0.37"/>
    <n v="1697"/>
    <n v="15"/>
  </r>
  <r>
    <x v="9"/>
    <x v="16"/>
    <x v="3"/>
    <n v="34.43"/>
    <n v="4600.71"/>
    <n v="0.19"/>
    <n v="0.19"/>
    <n v="1336"/>
    <n v="16"/>
  </r>
  <r>
    <x v="9"/>
    <x v="32"/>
    <x v="3"/>
    <n v="32.33"/>
    <n v="834.39"/>
    <n v="0.18"/>
    <n v="0.03"/>
    <n v="258"/>
    <n v="17"/>
  </r>
  <r>
    <x v="9"/>
    <x v="15"/>
    <x v="3"/>
    <n v="19.739999999999998"/>
    <n v="1368.2"/>
    <n v="0.11"/>
    <n v="0.06"/>
    <n v="693"/>
    <n v="18"/>
  </r>
  <r>
    <x v="9"/>
    <x v="20"/>
    <x v="3"/>
    <n v="17.760000000000002"/>
    <n v="2317.46"/>
    <n v="0.1"/>
    <n v="0.1"/>
    <n v="1305"/>
    <n v="19"/>
  </r>
  <r>
    <x v="9"/>
    <x v="22"/>
    <x v="3"/>
    <n v="17.440000000000001"/>
    <n v="2481.31"/>
    <n v="0.09"/>
    <n v="0.1"/>
    <n v="1423"/>
    <n v="20"/>
  </r>
  <r>
    <x v="9"/>
    <x v="24"/>
    <x v="3"/>
    <n v="16.649999999999999"/>
    <n v="1730.46"/>
    <n v="0.09"/>
    <n v="7.0000000000000007E-2"/>
    <n v="1039"/>
    <n v="21"/>
  </r>
  <r>
    <x v="9"/>
    <x v="21"/>
    <x v="3"/>
    <n v="13.35"/>
    <n v="3591.53"/>
    <n v="7.0000000000000007E-2"/>
    <n v="0.15"/>
    <n v="2690"/>
    <n v="22"/>
  </r>
  <r>
    <x v="9"/>
    <x v="17"/>
    <x v="3"/>
    <n v="12.46"/>
    <n v="8801.5499999999993"/>
    <n v="7.0000000000000007E-2"/>
    <n v="0.37"/>
    <n v="7064"/>
    <n v="23"/>
  </r>
  <r>
    <x v="9"/>
    <x v="19"/>
    <x v="3"/>
    <n v="11.4"/>
    <n v="2351.65"/>
    <n v="0.06"/>
    <n v="0.1"/>
    <n v="2063"/>
    <n v="24"/>
  </r>
  <r>
    <x v="9"/>
    <x v="34"/>
    <x v="3"/>
    <n v="10.7"/>
    <n v="1587.67"/>
    <n v="0.06"/>
    <n v="7.0000000000000007E-2"/>
    <n v="1484"/>
    <n v="25"/>
  </r>
  <r>
    <x v="9"/>
    <x v="23"/>
    <x v="3"/>
    <n v="8.81"/>
    <n v="624.29"/>
    <n v="0.05"/>
    <n v="0.03"/>
    <n v="709"/>
    <n v="26"/>
  </r>
  <r>
    <x v="9"/>
    <x v="26"/>
    <x v="3"/>
    <n v="5.99"/>
    <n v="905.62"/>
    <n v="0.03"/>
    <n v="0.04"/>
    <n v="1512"/>
    <n v="27"/>
  </r>
  <r>
    <x v="9"/>
    <x v="25"/>
    <x v="3"/>
    <n v="5.22"/>
    <n v="1006.22"/>
    <n v="0.03"/>
    <n v="0.04"/>
    <n v="1928"/>
    <n v="28"/>
  </r>
  <r>
    <x v="9"/>
    <x v="29"/>
    <x v="3"/>
    <n v="4.26"/>
    <n v="308.69"/>
    <n v="0.02"/>
    <n v="0.01"/>
    <n v="725"/>
    <n v="29"/>
  </r>
  <r>
    <x v="9"/>
    <x v="27"/>
    <x v="3"/>
    <n v="4.0199999999999996"/>
    <n v="723.95"/>
    <n v="0.02"/>
    <n v="0.03"/>
    <n v="1801"/>
    <n v="30"/>
  </r>
  <r>
    <x v="9"/>
    <x v="33"/>
    <x v="3"/>
    <n v="3.96"/>
    <n v="50.49"/>
    <n v="0.02"/>
    <n v="0"/>
    <n v="128"/>
    <n v="31"/>
  </r>
  <r>
    <x v="9"/>
    <x v="28"/>
    <x v="3"/>
    <n v="3.49"/>
    <n v="911.93"/>
    <n v="0.02"/>
    <n v="0.04"/>
    <n v="2613"/>
    <n v="32"/>
  </r>
  <r>
    <x v="9"/>
    <x v="30"/>
    <x v="3"/>
    <n v="3.46"/>
    <n v="917.08"/>
    <n v="0.02"/>
    <n v="0.04"/>
    <n v="2651"/>
    <n v="33"/>
  </r>
  <r>
    <x v="9"/>
    <x v="49"/>
    <x v="3"/>
    <n v="3.43"/>
    <n v="385.72"/>
    <n v="0.02"/>
    <n v="0.02"/>
    <n v="1125"/>
    <n v="34"/>
  </r>
  <r>
    <x v="9"/>
    <x v="75"/>
    <x v="3"/>
    <n v="2.75"/>
    <n v="375.21"/>
    <n v="0.01"/>
    <n v="0.02"/>
    <n v="1364"/>
    <n v="35"/>
  </r>
  <r>
    <x v="9"/>
    <x v="18"/>
    <x v="3"/>
    <n v="2.52"/>
    <n v="144.63999999999999"/>
    <n v="0.01"/>
    <n v="0.01"/>
    <n v="574"/>
    <n v="36"/>
  </r>
  <r>
    <x v="9"/>
    <x v="38"/>
    <x v="3"/>
    <n v="2.41"/>
    <n v="316.86"/>
    <n v="0.01"/>
    <n v="0.01"/>
    <n v="1315"/>
    <n v="37"/>
  </r>
  <r>
    <x v="9"/>
    <x v="48"/>
    <x v="3"/>
    <n v="2.16"/>
    <n v="144.63999999999999"/>
    <n v="0.01"/>
    <n v="0.01"/>
    <n v="670"/>
    <n v="38"/>
  </r>
  <r>
    <x v="9"/>
    <x v="36"/>
    <x v="3"/>
    <n v="1.77"/>
    <n v="497.24"/>
    <n v="0.01"/>
    <n v="0.02"/>
    <n v="2809"/>
    <n v="39"/>
  </r>
  <r>
    <x v="9"/>
    <x v="54"/>
    <x v="3"/>
    <n v="1.74"/>
    <n v="165.08"/>
    <n v="0.01"/>
    <n v="0.01"/>
    <n v="949"/>
    <n v="40"/>
  </r>
  <r>
    <x v="9"/>
    <x v="35"/>
    <x v="3"/>
    <n v="1.62"/>
    <n v="93.83"/>
    <n v="0.01"/>
    <n v="0"/>
    <n v="579"/>
    <n v="41"/>
  </r>
  <r>
    <x v="9"/>
    <x v="82"/>
    <x v="3"/>
    <n v="1.41"/>
    <n v="558.23"/>
    <n v="0.01"/>
    <n v="0.02"/>
    <n v="3959"/>
    <n v="42"/>
  </r>
  <r>
    <x v="9"/>
    <x v="47"/>
    <x v="3"/>
    <n v="1.31"/>
    <n v="173.24"/>
    <n v="0.01"/>
    <n v="0.01"/>
    <n v="1322"/>
    <n v="43"/>
  </r>
  <r>
    <x v="9"/>
    <x v="61"/>
    <x v="3"/>
    <n v="1.19"/>
    <n v="48.41"/>
    <n v="0.01"/>
    <n v="0"/>
    <n v="407"/>
    <n v="44"/>
  </r>
  <r>
    <x v="9"/>
    <x v="43"/>
    <x v="3"/>
    <n v="1.02"/>
    <n v="122.16"/>
    <n v="0.01"/>
    <n v="0.01"/>
    <n v="1198"/>
    <n v="45"/>
  </r>
  <r>
    <x v="9"/>
    <x v="37"/>
    <x v="3"/>
    <n v="0.93"/>
    <n v="186.91"/>
    <n v="0.01"/>
    <n v="0.01"/>
    <n v="2010"/>
    <n v="46"/>
  </r>
  <r>
    <x v="9"/>
    <x v="50"/>
    <x v="3"/>
    <n v="0.9"/>
    <n v="121.41"/>
    <n v="0"/>
    <n v="0.01"/>
    <n v="1349"/>
    <n v="47"/>
  </r>
  <r>
    <x v="9"/>
    <x v="46"/>
    <x v="3"/>
    <n v="0.88"/>
    <n v="287.20999999999998"/>
    <n v="0"/>
    <n v="0.01"/>
    <n v="3264"/>
    <n v="48"/>
  </r>
  <r>
    <x v="9"/>
    <x v="42"/>
    <x v="3"/>
    <n v="0.87"/>
    <n v="222.97"/>
    <n v="0"/>
    <n v="0.01"/>
    <n v="2563"/>
    <n v="49"/>
  </r>
  <r>
    <x v="9"/>
    <x v="31"/>
    <x v="3"/>
    <n v="0.87"/>
    <n v="203.68"/>
    <n v="0"/>
    <n v="0.01"/>
    <n v="2341"/>
    <n v="49"/>
  </r>
  <r>
    <x v="9"/>
    <x v="40"/>
    <x v="3"/>
    <n v="0.74"/>
    <n v="236.2"/>
    <n v="0"/>
    <n v="0.01"/>
    <n v="3192"/>
    <n v="51"/>
  </r>
  <r>
    <x v="9"/>
    <x v="41"/>
    <x v="3"/>
    <n v="0.73"/>
    <n v="208.33"/>
    <n v="0"/>
    <n v="0.01"/>
    <n v="2854"/>
    <n v="52"/>
  </r>
  <r>
    <x v="9"/>
    <x v="67"/>
    <x v="3"/>
    <n v="0.73"/>
    <n v="834.56"/>
    <n v="0"/>
    <n v="0.03"/>
    <n v="11432"/>
    <n v="52"/>
  </r>
  <r>
    <x v="9"/>
    <x v="45"/>
    <x v="3"/>
    <n v="0.62"/>
    <n v="184.72"/>
    <n v="0"/>
    <n v="0.01"/>
    <n v="2979"/>
    <n v="54"/>
  </r>
  <r>
    <x v="9"/>
    <x v="76"/>
    <x v="3"/>
    <n v="0.56999999999999995"/>
    <n v="58"/>
    <n v="0"/>
    <n v="0"/>
    <n v="1018"/>
    <n v="55"/>
  </r>
  <r>
    <x v="9"/>
    <x v="44"/>
    <x v="3"/>
    <n v="0.54"/>
    <n v="53.51"/>
    <n v="0"/>
    <n v="0"/>
    <n v="991"/>
    <n v="56"/>
  </r>
  <r>
    <x v="9"/>
    <x v="65"/>
    <x v="3"/>
    <n v="0.54"/>
    <n v="46.14"/>
    <n v="0"/>
    <n v="0"/>
    <n v="854"/>
    <n v="56"/>
  </r>
  <r>
    <x v="9"/>
    <x v="51"/>
    <x v="3"/>
    <n v="0.51"/>
    <n v="125.51"/>
    <n v="0"/>
    <n v="0.01"/>
    <n v="2461"/>
    <n v="58"/>
  </r>
  <r>
    <x v="9"/>
    <x v="52"/>
    <x v="3"/>
    <n v="0.47"/>
    <n v="134.16"/>
    <n v="0"/>
    <n v="0.01"/>
    <n v="2854"/>
    <n v="59"/>
  </r>
  <r>
    <x v="9"/>
    <x v="69"/>
    <x v="3"/>
    <n v="0.46"/>
    <n v="21.59"/>
    <n v="0"/>
    <n v="0"/>
    <n v="469"/>
    <n v="60"/>
  </r>
  <r>
    <x v="9"/>
    <x v="81"/>
    <x v="3"/>
    <n v="0.43"/>
    <n v="42"/>
    <n v="0"/>
    <n v="0"/>
    <n v="977"/>
    <n v="61"/>
  </r>
  <r>
    <x v="9"/>
    <x v="39"/>
    <x v="3"/>
    <n v="0.37"/>
    <n v="42.7"/>
    <n v="0"/>
    <n v="0"/>
    <n v="1154"/>
    <n v="62"/>
  </r>
  <r>
    <x v="9"/>
    <x v="79"/>
    <x v="3"/>
    <n v="0.34"/>
    <n v="38.22"/>
    <n v="0"/>
    <n v="0"/>
    <n v="1124"/>
    <n v="63"/>
  </r>
  <r>
    <x v="9"/>
    <x v="53"/>
    <x v="3"/>
    <n v="0.28000000000000003"/>
    <n v="67.040000000000006"/>
    <n v="0"/>
    <n v="0"/>
    <n v="2394"/>
    <n v="64"/>
  </r>
  <r>
    <x v="9"/>
    <x v="56"/>
    <x v="3"/>
    <n v="0.28000000000000003"/>
    <n v="82.52"/>
    <n v="0"/>
    <n v="0"/>
    <n v="2947"/>
    <n v="64"/>
  </r>
  <r>
    <x v="9"/>
    <x v="55"/>
    <x v="3"/>
    <n v="0.25"/>
    <n v="57.35"/>
    <n v="0"/>
    <n v="0"/>
    <n v="2294"/>
    <n v="66"/>
  </r>
  <r>
    <x v="9"/>
    <x v="80"/>
    <x v="3"/>
    <n v="0.2"/>
    <n v="14.16"/>
    <n v="0"/>
    <n v="0"/>
    <n v="708"/>
    <n v="67"/>
  </r>
  <r>
    <x v="9"/>
    <x v="64"/>
    <x v="3"/>
    <n v="0.17"/>
    <n v="19.48"/>
    <n v="0"/>
    <n v="0"/>
    <n v="1146"/>
    <n v="68"/>
  </r>
  <r>
    <x v="9"/>
    <x v="57"/>
    <x v="3"/>
    <n v="0.17"/>
    <n v="7.65"/>
    <n v="0"/>
    <n v="0"/>
    <n v="450"/>
    <n v="68"/>
  </r>
  <r>
    <x v="9"/>
    <x v="60"/>
    <x v="3"/>
    <n v="0.14000000000000001"/>
    <n v="49.11"/>
    <n v="0"/>
    <n v="0"/>
    <n v="3508"/>
    <n v="70"/>
  </r>
  <r>
    <x v="9"/>
    <x v="58"/>
    <x v="3"/>
    <n v="0.1"/>
    <n v="7.45"/>
    <n v="0"/>
    <n v="0"/>
    <n v="745"/>
    <n v="71"/>
  </r>
  <r>
    <x v="9"/>
    <x v="68"/>
    <x v="3"/>
    <n v="0.1"/>
    <n v="35.57"/>
    <n v="0"/>
    <n v="0"/>
    <n v="3557"/>
    <n v="71"/>
  </r>
  <r>
    <x v="9"/>
    <x v="63"/>
    <x v="3"/>
    <n v="0.09"/>
    <n v="32.85"/>
    <n v="0"/>
    <n v="0"/>
    <n v="3650"/>
    <n v="73"/>
  </r>
  <r>
    <x v="9"/>
    <x v="84"/>
    <x v="3"/>
    <n v="0.08"/>
    <n v="11.38"/>
    <n v="0"/>
    <n v="0"/>
    <n v="1423"/>
    <n v="74"/>
  </r>
  <r>
    <x v="9"/>
    <x v="62"/>
    <x v="3"/>
    <n v="0.08"/>
    <n v="29.99"/>
    <n v="0"/>
    <n v="0"/>
    <n v="3749"/>
    <n v="74"/>
  </r>
  <r>
    <x v="9"/>
    <x v="66"/>
    <x v="3"/>
    <n v="7.0000000000000007E-2"/>
    <n v="2.2000000000000002"/>
    <n v="0"/>
    <n v="0"/>
    <n v="314"/>
    <n v="76"/>
  </r>
  <r>
    <x v="9"/>
    <x v="85"/>
    <x v="3"/>
    <n v="7.0000000000000007E-2"/>
    <n v="16.010000000000002"/>
    <n v="0"/>
    <n v="0"/>
    <n v="2287"/>
    <n v="76"/>
  </r>
  <r>
    <x v="9"/>
    <x v="59"/>
    <x v="3"/>
    <n v="0.06"/>
    <n v="14.82"/>
    <n v="0"/>
    <n v="0"/>
    <n v="2470"/>
    <n v="78"/>
  </r>
  <r>
    <x v="9"/>
    <x v="70"/>
    <x v="3"/>
    <n v="0.03"/>
    <n v="2.23"/>
    <n v="0"/>
    <n v="0"/>
    <n v="743"/>
    <n v="79"/>
  </r>
  <r>
    <x v="9"/>
    <x v="86"/>
    <x v="3"/>
    <n v="0.03"/>
    <n v="1.96"/>
    <n v="0"/>
    <n v="0"/>
    <n v="653"/>
    <n v="79"/>
  </r>
  <r>
    <x v="9"/>
    <x v="83"/>
    <x v="3"/>
    <n v="0.02"/>
    <n v="8.31"/>
    <n v="0"/>
    <n v="0"/>
    <n v="4155"/>
    <n v="81"/>
  </r>
  <r>
    <x v="10"/>
    <x v="0"/>
    <x v="0"/>
    <n v="8931.24"/>
    <n v="1220140.68"/>
    <n v="45.88"/>
    <n v="48.64"/>
    <n v="1366"/>
    <n v="1"/>
  </r>
  <r>
    <x v="10"/>
    <x v="1"/>
    <x v="1"/>
    <n v="6922.92"/>
    <n v="891297.38"/>
    <n v="35.56"/>
    <n v="35.53"/>
    <n v="1287"/>
    <n v="2"/>
  </r>
  <r>
    <x v="10"/>
    <x v="2"/>
    <x v="2"/>
    <n v="1366.05"/>
    <n v="143650.62"/>
    <n v="7.02"/>
    <n v="5.73"/>
    <n v="1052"/>
    <n v="3"/>
  </r>
  <r>
    <x v="10"/>
    <x v="4"/>
    <x v="3"/>
    <n v="444.06"/>
    <n v="23562.51"/>
    <n v="2.2799999999999998"/>
    <n v="0.94"/>
    <n v="531"/>
    <n v="4"/>
  </r>
  <r>
    <x v="10"/>
    <x v="14"/>
    <x v="3"/>
    <n v="252.85"/>
    <n v="9018.7099999999991"/>
    <n v="1.3"/>
    <n v="0.36"/>
    <n v="357"/>
    <n v="5"/>
  </r>
  <r>
    <x v="10"/>
    <x v="3"/>
    <x v="3"/>
    <n v="144.38"/>
    <n v="55259.9"/>
    <n v="0.74"/>
    <n v="2.2000000000000002"/>
    <n v="3827"/>
    <n v="6"/>
  </r>
  <r>
    <x v="10"/>
    <x v="7"/>
    <x v="3"/>
    <n v="125"/>
    <n v="1563.58"/>
    <n v="0.64"/>
    <n v="0.06"/>
    <n v="125"/>
    <n v="7"/>
  </r>
  <r>
    <x v="10"/>
    <x v="5"/>
    <x v="3"/>
    <n v="123.44"/>
    <n v="9773.39"/>
    <n v="0.63"/>
    <n v="0.39"/>
    <n v="792"/>
    <n v="8"/>
  </r>
  <r>
    <x v="10"/>
    <x v="6"/>
    <x v="3"/>
    <n v="100.53"/>
    <n v="10813.98"/>
    <n v="0.52"/>
    <n v="0.43"/>
    <n v="1076"/>
    <n v="9"/>
  </r>
  <r>
    <x v="10"/>
    <x v="13"/>
    <x v="3"/>
    <n v="87.13"/>
    <n v="14522.39"/>
    <n v="0.45"/>
    <n v="0.57999999999999996"/>
    <n v="1667"/>
    <n v="10"/>
  </r>
  <r>
    <x v="10"/>
    <x v="9"/>
    <x v="3"/>
    <n v="74.599999999999994"/>
    <n v="5412.58"/>
    <n v="0.38"/>
    <n v="0.22"/>
    <n v="726"/>
    <n v="11"/>
  </r>
  <r>
    <x v="10"/>
    <x v="8"/>
    <x v="3"/>
    <n v="71.33"/>
    <n v="17102.36"/>
    <n v="0.37"/>
    <n v="0.68"/>
    <n v="2398"/>
    <n v="12"/>
  </r>
  <r>
    <x v="10"/>
    <x v="10"/>
    <x v="3"/>
    <n v="66.63"/>
    <n v="8497.73"/>
    <n v="0.34"/>
    <n v="0.34"/>
    <n v="1275"/>
    <n v="13"/>
  </r>
  <r>
    <x v="10"/>
    <x v="11"/>
    <x v="3"/>
    <n v="64.97"/>
    <n v="15430.59"/>
    <n v="0.33"/>
    <n v="0.62"/>
    <n v="2375"/>
    <n v="14"/>
  </r>
  <r>
    <x v="10"/>
    <x v="32"/>
    <x v="3"/>
    <n v="63.63"/>
    <n v="1539.48"/>
    <n v="0.33"/>
    <n v="0.06"/>
    <n v="242"/>
    <n v="15"/>
  </r>
  <r>
    <x v="10"/>
    <x v="12"/>
    <x v="3"/>
    <n v="55.6"/>
    <n v="9491.6200000000008"/>
    <n v="0.28999999999999998"/>
    <n v="0.38"/>
    <n v="1707"/>
    <n v="16"/>
  </r>
  <r>
    <x v="10"/>
    <x v="16"/>
    <x v="3"/>
    <n v="43.17"/>
    <n v="5578.43"/>
    <n v="0.22"/>
    <n v="0.22"/>
    <n v="1292"/>
    <n v="17"/>
  </r>
  <r>
    <x v="10"/>
    <x v="15"/>
    <x v="3"/>
    <n v="21.34"/>
    <n v="1509.17"/>
    <n v="0.11"/>
    <n v="0.06"/>
    <n v="707"/>
    <n v="18"/>
  </r>
  <r>
    <x v="10"/>
    <x v="20"/>
    <x v="3"/>
    <n v="19.829999999999998"/>
    <n v="2586.2199999999998"/>
    <n v="0.1"/>
    <n v="0.1"/>
    <n v="1304"/>
    <n v="19"/>
  </r>
  <r>
    <x v="10"/>
    <x v="24"/>
    <x v="3"/>
    <n v="18.16"/>
    <n v="1759.02"/>
    <n v="0.09"/>
    <n v="7.0000000000000007E-2"/>
    <n v="969"/>
    <n v="20"/>
  </r>
  <r>
    <x v="10"/>
    <x v="22"/>
    <x v="3"/>
    <n v="18.079999999999998"/>
    <n v="2707.93"/>
    <n v="0.09"/>
    <n v="0.11"/>
    <n v="1498"/>
    <n v="21"/>
  </r>
  <r>
    <x v="10"/>
    <x v="17"/>
    <x v="3"/>
    <n v="14.06"/>
    <n v="11012.81"/>
    <n v="7.0000000000000007E-2"/>
    <n v="0.44"/>
    <n v="7833"/>
    <n v="22"/>
  </r>
  <r>
    <x v="10"/>
    <x v="21"/>
    <x v="3"/>
    <n v="12.26"/>
    <n v="3633.07"/>
    <n v="0.06"/>
    <n v="0.14000000000000001"/>
    <n v="2963"/>
    <n v="23"/>
  </r>
  <r>
    <x v="10"/>
    <x v="19"/>
    <x v="3"/>
    <n v="10.87"/>
    <n v="2516.08"/>
    <n v="0.06"/>
    <n v="0.1"/>
    <n v="2315"/>
    <n v="24"/>
  </r>
  <r>
    <x v="10"/>
    <x v="23"/>
    <x v="3"/>
    <n v="9.34"/>
    <n v="669.72"/>
    <n v="0.05"/>
    <n v="0.03"/>
    <n v="717"/>
    <n v="25"/>
  </r>
  <r>
    <x v="10"/>
    <x v="34"/>
    <x v="3"/>
    <n v="8.5399999999999991"/>
    <n v="1388.7"/>
    <n v="0.04"/>
    <n v="0.06"/>
    <n v="1626"/>
    <n v="26"/>
  </r>
  <r>
    <x v="10"/>
    <x v="26"/>
    <x v="3"/>
    <n v="6.3"/>
    <n v="981.5"/>
    <n v="0.03"/>
    <n v="0.04"/>
    <n v="1558"/>
    <n v="27"/>
  </r>
  <r>
    <x v="10"/>
    <x v="25"/>
    <x v="3"/>
    <n v="5.86"/>
    <n v="1163.18"/>
    <n v="0.03"/>
    <n v="0.05"/>
    <n v="1985"/>
    <n v="28"/>
  </r>
  <r>
    <x v="10"/>
    <x v="29"/>
    <x v="3"/>
    <n v="4.47"/>
    <n v="306.58"/>
    <n v="0.02"/>
    <n v="0.01"/>
    <n v="686"/>
    <n v="29"/>
  </r>
  <r>
    <x v="10"/>
    <x v="27"/>
    <x v="3"/>
    <n v="4.43"/>
    <n v="770.63"/>
    <n v="0.02"/>
    <n v="0.03"/>
    <n v="1740"/>
    <n v="30"/>
  </r>
  <r>
    <x v="10"/>
    <x v="28"/>
    <x v="3"/>
    <n v="4.05"/>
    <n v="1018.59"/>
    <n v="0.02"/>
    <n v="0.04"/>
    <n v="2515"/>
    <n v="31"/>
  </r>
  <r>
    <x v="10"/>
    <x v="30"/>
    <x v="3"/>
    <n v="3.67"/>
    <n v="980.66"/>
    <n v="0.02"/>
    <n v="0.04"/>
    <n v="2672"/>
    <n v="32"/>
  </r>
  <r>
    <x v="10"/>
    <x v="33"/>
    <x v="3"/>
    <n v="3.14"/>
    <n v="47.4"/>
    <n v="0.02"/>
    <n v="0"/>
    <n v="151"/>
    <n v="33"/>
  </r>
  <r>
    <x v="10"/>
    <x v="49"/>
    <x v="3"/>
    <n v="2.85"/>
    <n v="323.87"/>
    <n v="0.01"/>
    <n v="0.01"/>
    <n v="1136"/>
    <n v="34"/>
  </r>
  <r>
    <x v="10"/>
    <x v="75"/>
    <x v="3"/>
    <n v="2.84"/>
    <n v="400.92"/>
    <n v="0.01"/>
    <n v="0.02"/>
    <n v="1412"/>
    <n v="35"/>
  </r>
  <r>
    <x v="10"/>
    <x v="61"/>
    <x v="3"/>
    <n v="2.78"/>
    <n v="110.25"/>
    <n v="0.01"/>
    <n v="0"/>
    <n v="397"/>
    <n v="36"/>
  </r>
  <r>
    <x v="10"/>
    <x v="18"/>
    <x v="3"/>
    <n v="2.7"/>
    <n v="155.63999999999999"/>
    <n v="0.01"/>
    <n v="0.01"/>
    <n v="576"/>
    <n v="37"/>
  </r>
  <r>
    <x v="10"/>
    <x v="38"/>
    <x v="3"/>
    <n v="2.62"/>
    <n v="343.24"/>
    <n v="0.01"/>
    <n v="0.01"/>
    <n v="1310"/>
    <n v="38"/>
  </r>
  <r>
    <x v="10"/>
    <x v="48"/>
    <x v="3"/>
    <n v="2.38"/>
    <n v="155.72"/>
    <n v="0.01"/>
    <n v="0.01"/>
    <n v="654"/>
    <n v="39"/>
  </r>
  <r>
    <x v="10"/>
    <x v="36"/>
    <x v="3"/>
    <n v="2.0099999999999998"/>
    <n v="529.28"/>
    <n v="0.01"/>
    <n v="0.02"/>
    <n v="2633"/>
    <n v="40"/>
  </r>
  <r>
    <x v="10"/>
    <x v="82"/>
    <x v="3"/>
    <n v="1.86"/>
    <n v="730.24"/>
    <n v="0.01"/>
    <n v="0.03"/>
    <n v="3926"/>
    <n v="41"/>
  </r>
  <r>
    <x v="10"/>
    <x v="35"/>
    <x v="3"/>
    <n v="1.73"/>
    <n v="98.15"/>
    <n v="0.01"/>
    <n v="0"/>
    <n v="567"/>
    <n v="42"/>
  </r>
  <r>
    <x v="10"/>
    <x v="47"/>
    <x v="3"/>
    <n v="1.26"/>
    <n v="178.71"/>
    <n v="0.01"/>
    <n v="0.01"/>
    <n v="1418"/>
    <n v="43"/>
  </r>
  <r>
    <x v="10"/>
    <x v="31"/>
    <x v="3"/>
    <n v="1.1100000000000001"/>
    <n v="255.91"/>
    <n v="0.01"/>
    <n v="0.01"/>
    <n v="2305"/>
    <n v="44"/>
  </r>
  <r>
    <x v="10"/>
    <x v="43"/>
    <x v="3"/>
    <n v="1.0900000000000001"/>
    <n v="135.52000000000001"/>
    <n v="0.01"/>
    <n v="0.01"/>
    <n v="1243"/>
    <n v="45"/>
  </r>
  <r>
    <x v="10"/>
    <x v="50"/>
    <x v="3"/>
    <n v="1.06"/>
    <n v="151.82"/>
    <n v="0.01"/>
    <n v="0.01"/>
    <n v="1432"/>
    <n v="46"/>
  </r>
  <r>
    <x v="10"/>
    <x v="46"/>
    <x v="3"/>
    <n v="1.01"/>
    <n v="320.5"/>
    <n v="0.01"/>
    <n v="0.01"/>
    <n v="3173"/>
    <n v="47"/>
  </r>
  <r>
    <x v="10"/>
    <x v="54"/>
    <x v="3"/>
    <n v="0.99"/>
    <n v="150.81"/>
    <n v="0.01"/>
    <n v="0.01"/>
    <n v="1523"/>
    <n v="48"/>
  </r>
  <r>
    <x v="10"/>
    <x v="65"/>
    <x v="3"/>
    <n v="0.92"/>
    <n v="62.45"/>
    <n v="0"/>
    <n v="0"/>
    <n v="679"/>
    <n v="49"/>
  </r>
  <r>
    <x v="10"/>
    <x v="42"/>
    <x v="3"/>
    <n v="0.88"/>
    <n v="222.49"/>
    <n v="0"/>
    <n v="0.01"/>
    <n v="2528"/>
    <n v="50"/>
  </r>
  <r>
    <x v="10"/>
    <x v="37"/>
    <x v="3"/>
    <n v="0.86"/>
    <n v="186.24"/>
    <n v="0"/>
    <n v="0.01"/>
    <n v="2166"/>
    <n v="51"/>
  </r>
  <r>
    <x v="10"/>
    <x v="41"/>
    <x v="3"/>
    <n v="0.83"/>
    <n v="240.25"/>
    <n v="0"/>
    <n v="0.01"/>
    <n v="2895"/>
    <n v="52"/>
  </r>
  <r>
    <x v="10"/>
    <x v="40"/>
    <x v="3"/>
    <n v="0.79"/>
    <n v="259.13"/>
    <n v="0"/>
    <n v="0.01"/>
    <n v="3280"/>
    <n v="53"/>
  </r>
  <r>
    <x v="10"/>
    <x v="67"/>
    <x v="3"/>
    <n v="0.78"/>
    <n v="918.16"/>
    <n v="0"/>
    <n v="0.04"/>
    <n v="11771"/>
    <n v="54"/>
  </r>
  <r>
    <x v="10"/>
    <x v="79"/>
    <x v="3"/>
    <n v="0.71"/>
    <n v="64.31"/>
    <n v="0"/>
    <n v="0"/>
    <n v="906"/>
    <n v="55"/>
  </r>
  <r>
    <x v="10"/>
    <x v="45"/>
    <x v="3"/>
    <n v="0.65"/>
    <n v="201.78"/>
    <n v="0"/>
    <n v="0.01"/>
    <n v="3104"/>
    <n v="56"/>
  </r>
  <r>
    <x v="10"/>
    <x v="81"/>
    <x v="3"/>
    <n v="0.6"/>
    <n v="54.67"/>
    <n v="0"/>
    <n v="0"/>
    <n v="911"/>
    <n v="57"/>
  </r>
  <r>
    <x v="10"/>
    <x v="76"/>
    <x v="3"/>
    <n v="0.59"/>
    <n v="64.58"/>
    <n v="0"/>
    <n v="0"/>
    <n v="1095"/>
    <n v="58"/>
  </r>
  <r>
    <x v="10"/>
    <x v="51"/>
    <x v="3"/>
    <n v="0.56999999999999995"/>
    <n v="140.44"/>
    <n v="0"/>
    <n v="0.01"/>
    <n v="2464"/>
    <n v="59"/>
  </r>
  <r>
    <x v="10"/>
    <x v="44"/>
    <x v="3"/>
    <n v="0.55000000000000004"/>
    <n v="55.18"/>
    <n v="0"/>
    <n v="0"/>
    <n v="1003"/>
    <n v="60"/>
  </r>
  <r>
    <x v="10"/>
    <x v="69"/>
    <x v="3"/>
    <n v="0.5"/>
    <n v="22.32"/>
    <n v="0"/>
    <n v="0"/>
    <n v="446"/>
    <n v="61"/>
  </r>
  <r>
    <x v="10"/>
    <x v="52"/>
    <x v="3"/>
    <n v="0.49"/>
    <n v="144.19999999999999"/>
    <n v="0"/>
    <n v="0.01"/>
    <n v="2943"/>
    <n v="62"/>
  </r>
  <r>
    <x v="10"/>
    <x v="39"/>
    <x v="3"/>
    <n v="0.39"/>
    <n v="23.14"/>
    <n v="0"/>
    <n v="0"/>
    <n v="593"/>
    <n v="63"/>
  </r>
  <r>
    <x v="10"/>
    <x v="56"/>
    <x v="3"/>
    <n v="0.31"/>
    <n v="95.7"/>
    <n v="0"/>
    <n v="0"/>
    <n v="3087"/>
    <n v="64"/>
  </r>
  <r>
    <x v="10"/>
    <x v="53"/>
    <x v="3"/>
    <n v="0.28999999999999998"/>
    <n v="69.349999999999994"/>
    <n v="0"/>
    <n v="0"/>
    <n v="2391"/>
    <n v="65"/>
  </r>
  <r>
    <x v="10"/>
    <x v="55"/>
    <x v="3"/>
    <n v="0.26"/>
    <n v="61.44"/>
    <n v="0"/>
    <n v="0"/>
    <n v="2363"/>
    <n v="66"/>
  </r>
  <r>
    <x v="10"/>
    <x v="80"/>
    <x v="3"/>
    <n v="0.26"/>
    <n v="21.44"/>
    <n v="0"/>
    <n v="0"/>
    <n v="825"/>
    <n v="66"/>
  </r>
  <r>
    <x v="10"/>
    <x v="64"/>
    <x v="3"/>
    <n v="0.22"/>
    <n v="23.19"/>
    <n v="0"/>
    <n v="0"/>
    <n v="1054"/>
    <n v="68"/>
  </r>
  <r>
    <x v="10"/>
    <x v="57"/>
    <x v="3"/>
    <n v="0.2"/>
    <n v="8.73"/>
    <n v="0"/>
    <n v="0"/>
    <n v="437"/>
    <n v="69"/>
  </r>
  <r>
    <x v="10"/>
    <x v="60"/>
    <x v="3"/>
    <n v="0.16"/>
    <n v="60.93"/>
    <n v="0"/>
    <n v="0"/>
    <n v="3808"/>
    <n v="70"/>
  </r>
  <r>
    <x v="10"/>
    <x v="66"/>
    <x v="3"/>
    <n v="0.13"/>
    <n v="4.22"/>
    <n v="0"/>
    <n v="0"/>
    <n v="325"/>
    <n v="71"/>
  </r>
  <r>
    <x v="10"/>
    <x v="58"/>
    <x v="3"/>
    <n v="0.11"/>
    <n v="7.7"/>
    <n v="0"/>
    <n v="0"/>
    <n v="700"/>
    <n v="72"/>
  </r>
  <r>
    <x v="10"/>
    <x v="68"/>
    <x v="3"/>
    <n v="0.11"/>
    <n v="38.44"/>
    <n v="0"/>
    <n v="0"/>
    <n v="3495"/>
    <n v="72"/>
  </r>
  <r>
    <x v="10"/>
    <x v="84"/>
    <x v="3"/>
    <n v="0.11"/>
    <n v="15.31"/>
    <n v="0"/>
    <n v="0"/>
    <n v="1392"/>
    <n v="72"/>
  </r>
  <r>
    <x v="10"/>
    <x v="63"/>
    <x v="3"/>
    <n v="0.1"/>
    <n v="33.72"/>
    <n v="0"/>
    <n v="0"/>
    <n v="3372"/>
    <n v="75"/>
  </r>
  <r>
    <x v="10"/>
    <x v="59"/>
    <x v="3"/>
    <n v="0.08"/>
    <n v="20.059999999999999"/>
    <n v="0"/>
    <n v="0"/>
    <n v="2508"/>
    <n v="76"/>
  </r>
  <r>
    <x v="10"/>
    <x v="62"/>
    <x v="3"/>
    <n v="7.0000000000000007E-2"/>
    <n v="27.83"/>
    <n v="0"/>
    <n v="0"/>
    <n v="3976"/>
    <n v="77"/>
  </r>
  <r>
    <x v="10"/>
    <x v="85"/>
    <x v="3"/>
    <n v="7.0000000000000007E-2"/>
    <n v="16.97"/>
    <n v="0"/>
    <n v="0"/>
    <n v="2424"/>
    <n v="77"/>
  </r>
  <r>
    <x v="10"/>
    <x v="70"/>
    <x v="3"/>
    <n v="0.04"/>
    <n v="2.57"/>
    <n v="0"/>
    <n v="0"/>
    <n v="643"/>
    <n v="79"/>
  </r>
  <r>
    <x v="10"/>
    <x v="86"/>
    <x v="3"/>
    <n v="0.04"/>
    <n v="3.27"/>
    <n v="0"/>
    <n v="0"/>
    <n v="818"/>
    <n v="79"/>
  </r>
  <r>
    <x v="10"/>
    <x v="87"/>
    <x v="3"/>
    <n v="0.02"/>
    <n v="3.19"/>
    <n v="0"/>
    <n v="0"/>
    <n v="1595"/>
    <n v="81"/>
  </r>
  <r>
    <x v="10"/>
    <x v="83"/>
    <x v="3"/>
    <n v="0.02"/>
    <n v="8.09"/>
    <n v="0"/>
    <n v="0"/>
    <n v="4045"/>
    <n v="81"/>
  </r>
  <r>
    <x v="10"/>
    <x v="88"/>
    <x v="3"/>
    <n v="0.02"/>
    <n v="0.5"/>
    <n v="0"/>
    <n v="0"/>
    <n v="250"/>
    <n v="81"/>
  </r>
  <r>
    <x v="10"/>
    <x v="71"/>
    <x v="3"/>
    <n v="0.02"/>
    <n v="7.28"/>
    <n v="0"/>
    <n v="0"/>
    <n v="3640"/>
    <n v="81"/>
  </r>
  <r>
    <x v="11"/>
    <x v="0"/>
    <x v="0"/>
    <n v="9152.5400000000009"/>
    <n v="1199457.73"/>
    <n v="45.74"/>
    <n v="48.26"/>
    <n v="1311"/>
    <n v="1"/>
  </r>
  <r>
    <x v="11"/>
    <x v="1"/>
    <x v="1"/>
    <n v="7063.76"/>
    <n v="883682.27"/>
    <n v="35.299999999999997"/>
    <n v="35.549999999999997"/>
    <n v="1251"/>
    <n v="2"/>
  </r>
  <r>
    <x v="11"/>
    <x v="2"/>
    <x v="2"/>
    <n v="1407.23"/>
    <n v="143484.97"/>
    <n v="7.03"/>
    <n v="5.77"/>
    <n v="1020"/>
    <n v="3"/>
  </r>
  <r>
    <x v="11"/>
    <x v="4"/>
    <x v="3"/>
    <n v="504.45"/>
    <n v="25396.91"/>
    <n v="2.52"/>
    <n v="1.02"/>
    <n v="503"/>
    <n v="4"/>
  </r>
  <r>
    <x v="11"/>
    <x v="14"/>
    <x v="3"/>
    <n v="256.64"/>
    <n v="9290.2099999999991"/>
    <n v="1.28"/>
    <n v="0.37"/>
    <n v="362"/>
    <n v="5"/>
  </r>
  <r>
    <x v="11"/>
    <x v="3"/>
    <x v="3"/>
    <n v="150"/>
    <n v="55756.24"/>
    <n v="0.75"/>
    <n v="2.2400000000000002"/>
    <n v="3717"/>
    <n v="6"/>
  </r>
  <r>
    <x v="11"/>
    <x v="7"/>
    <x v="3"/>
    <n v="135.65"/>
    <n v="1708.85"/>
    <n v="0.68"/>
    <n v="7.0000000000000007E-2"/>
    <n v="126"/>
    <n v="7"/>
  </r>
  <r>
    <x v="11"/>
    <x v="5"/>
    <x v="3"/>
    <n v="135.13999999999999"/>
    <n v="9812.52"/>
    <n v="0.68"/>
    <n v="0.39"/>
    <n v="726"/>
    <n v="8"/>
  </r>
  <r>
    <x v="11"/>
    <x v="13"/>
    <x v="3"/>
    <n v="100.17"/>
    <n v="15002.68"/>
    <n v="0.5"/>
    <n v="0.6"/>
    <n v="1498"/>
    <n v="9"/>
  </r>
  <r>
    <x v="11"/>
    <x v="6"/>
    <x v="3"/>
    <n v="98.98"/>
    <n v="10830.8"/>
    <n v="0.49"/>
    <n v="0.44"/>
    <n v="1094"/>
    <n v="10"/>
  </r>
  <r>
    <x v="11"/>
    <x v="9"/>
    <x v="3"/>
    <n v="78.209999999999994"/>
    <n v="5583.34"/>
    <n v="0.39"/>
    <n v="0.22"/>
    <n v="714"/>
    <n v="11"/>
  </r>
  <r>
    <x v="11"/>
    <x v="8"/>
    <x v="3"/>
    <n v="75.8"/>
    <n v="16589.759999999998"/>
    <n v="0.38"/>
    <n v="0.67"/>
    <n v="2189"/>
    <n v="12"/>
  </r>
  <r>
    <x v="11"/>
    <x v="11"/>
    <x v="3"/>
    <n v="72.86"/>
    <n v="16120.19"/>
    <n v="0.36"/>
    <n v="0.65"/>
    <n v="2212"/>
    <n v="13"/>
  </r>
  <r>
    <x v="11"/>
    <x v="10"/>
    <x v="3"/>
    <n v="71.87"/>
    <n v="8662.31"/>
    <n v="0.36"/>
    <n v="0.35"/>
    <n v="1205"/>
    <n v="14"/>
  </r>
  <r>
    <x v="11"/>
    <x v="12"/>
    <x v="3"/>
    <n v="54.33"/>
    <n v="9428.15"/>
    <n v="0.27"/>
    <n v="0.38"/>
    <n v="1735"/>
    <n v="15"/>
  </r>
  <r>
    <x v="11"/>
    <x v="16"/>
    <x v="3"/>
    <n v="48.14"/>
    <n v="6010.88"/>
    <n v="0.24"/>
    <n v="0.24"/>
    <n v="1249"/>
    <n v="16"/>
  </r>
  <r>
    <x v="11"/>
    <x v="32"/>
    <x v="3"/>
    <n v="44.53"/>
    <n v="1694.22"/>
    <n v="0.22"/>
    <n v="7.0000000000000007E-2"/>
    <n v="380"/>
    <n v="17"/>
  </r>
  <r>
    <x v="11"/>
    <x v="15"/>
    <x v="3"/>
    <n v="21.4"/>
    <n v="1650.42"/>
    <n v="0.11"/>
    <n v="7.0000000000000007E-2"/>
    <n v="771"/>
    <n v="18"/>
  </r>
  <r>
    <x v="11"/>
    <x v="20"/>
    <x v="3"/>
    <n v="20.75"/>
    <n v="2716.15"/>
    <n v="0.1"/>
    <n v="0.11"/>
    <n v="1309"/>
    <n v="19"/>
  </r>
  <r>
    <x v="11"/>
    <x v="24"/>
    <x v="3"/>
    <n v="19.579999999999998"/>
    <n v="1892.61"/>
    <n v="0.1"/>
    <n v="0.08"/>
    <n v="967"/>
    <n v="20"/>
  </r>
  <r>
    <x v="11"/>
    <x v="22"/>
    <x v="3"/>
    <n v="17.48"/>
    <n v="2728.37"/>
    <n v="0.09"/>
    <n v="0.11"/>
    <n v="1561"/>
    <n v="21"/>
  </r>
  <r>
    <x v="11"/>
    <x v="17"/>
    <x v="3"/>
    <n v="13.01"/>
    <n v="9001.8700000000008"/>
    <n v="7.0000000000000007E-2"/>
    <n v="0.36"/>
    <n v="6919"/>
    <n v="22"/>
  </r>
  <r>
    <x v="11"/>
    <x v="21"/>
    <x v="3"/>
    <n v="12.99"/>
    <n v="3668.47"/>
    <n v="0.06"/>
    <n v="0.15"/>
    <n v="2824"/>
    <n v="23"/>
  </r>
  <r>
    <x v="11"/>
    <x v="19"/>
    <x v="3"/>
    <n v="11.63"/>
    <n v="2456.88"/>
    <n v="0.06"/>
    <n v="0.1"/>
    <n v="2113"/>
    <n v="24"/>
  </r>
  <r>
    <x v="11"/>
    <x v="23"/>
    <x v="3"/>
    <n v="9.9"/>
    <n v="682.42"/>
    <n v="0.05"/>
    <n v="0.03"/>
    <n v="689"/>
    <n v="25"/>
  </r>
  <r>
    <x v="11"/>
    <x v="34"/>
    <x v="3"/>
    <n v="9.2899999999999991"/>
    <n v="1456.85"/>
    <n v="0.05"/>
    <n v="0.06"/>
    <n v="1568"/>
    <n v="26"/>
  </r>
  <r>
    <x v="11"/>
    <x v="25"/>
    <x v="3"/>
    <n v="6.55"/>
    <n v="1295.01"/>
    <n v="0.03"/>
    <n v="0.05"/>
    <n v="1977"/>
    <n v="27"/>
  </r>
  <r>
    <x v="11"/>
    <x v="26"/>
    <x v="3"/>
    <n v="6.49"/>
    <n v="998.01"/>
    <n v="0.03"/>
    <n v="0.04"/>
    <n v="1538"/>
    <n v="28"/>
  </r>
  <r>
    <x v="11"/>
    <x v="65"/>
    <x v="3"/>
    <n v="4.6900000000000004"/>
    <n v="233.82"/>
    <n v="0.02"/>
    <n v="0.01"/>
    <n v="499"/>
    <n v="29"/>
  </r>
  <r>
    <x v="11"/>
    <x v="29"/>
    <x v="3"/>
    <n v="4.6500000000000004"/>
    <n v="319.72000000000003"/>
    <n v="0.02"/>
    <n v="0.01"/>
    <n v="688"/>
    <n v="30"/>
  </r>
  <r>
    <x v="11"/>
    <x v="28"/>
    <x v="3"/>
    <n v="4.2699999999999996"/>
    <n v="1028.07"/>
    <n v="0.02"/>
    <n v="0.04"/>
    <n v="2408"/>
    <n v="31"/>
  </r>
  <r>
    <x v="11"/>
    <x v="27"/>
    <x v="3"/>
    <n v="4.24"/>
    <n v="774.19"/>
    <n v="0.02"/>
    <n v="0.03"/>
    <n v="1826"/>
    <n v="32"/>
  </r>
  <r>
    <x v="11"/>
    <x v="30"/>
    <x v="3"/>
    <n v="3.79"/>
    <n v="964.86"/>
    <n v="0.02"/>
    <n v="0.04"/>
    <n v="2546"/>
    <n v="33"/>
  </r>
  <r>
    <x v="11"/>
    <x v="61"/>
    <x v="3"/>
    <n v="3.59"/>
    <n v="198.74"/>
    <n v="0.02"/>
    <n v="0.01"/>
    <n v="554"/>
    <n v="34"/>
  </r>
  <r>
    <x v="11"/>
    <x v="18"/>
    <x v="3"/>
    <n v="3.46"/>
    <n v="194.88"/>
    <n v="0.02"/>
    <n v="0.01"/>
    <n v="563"/>
    <n v="35"/>
  </r>
  <r>
    <x v="11"/>
    <x v="33"/>
    <x v="3"/>
    <n v="2.98"/>
    <n v="43.77"/>
    <n v="0.01"/>
    <n v="0"/>
    <n v="147"/>
    <n v="36"/>
  </r>
  <r>
    <x v="11"/>
    <x v="75"/>
    <x v="3"/>
    <n v="2.77"/>
    <n v="391.19"/>
    <n v="0.01"/>
    <n v="0.02"/>
    <n v="1412"/>
    <n v="37"/>
  </r>
  <r>
    <x v="11"/>
    <x v="49"/>
    <x v="3"/>
    <n v="2.69"/>
    <n v="305.39"/>
    <n v="0.01"/>
    <n v="0.01"/>
    <n v="1135"/>
    <n v="38"/>
  </r>
  <r>
    <x v="11"/>
    <x v="48"/>
    <x v="3"/>
    <n v="2.61"/>
    <n v="159.27000000000001"/>
    <n v="0.01"/>
    <n v="0.01"/>
    <n v="610"/>
    <n v="39"/>
  </r>
  <r>
    <x v="11"/>
    <x v="38"/>
    <x v="3"/>
    <n v="2.4700000000000002"/>
    <n v="334.59"/>
    <n v="0.01"/>
    <n v="0.01"/>
    <n v="1355"/>
    <n v="40"/>
  </r>
  <r>
    <x v="11"/>
    <x v="36"/>
    <x v="3"/>
    <n v="2.39"/>
    <n v="508.85"/>
    <n v="0.01"/>
    <n v="0.02"/>
    <n v="2129"/>
    <n v="41"/>
  </r>
  <r>
    <x v="11"/>
    <x v="82"/>
    <x v="3"/>
    <n v="2.15"/>
    <n v="758.73"/>
    <n v="0.01"/>
    <n v="0.03"/>
    <n v="3529"/>
    <n v="42"/>
  </r>
  <r>
    <x v="11"/>
    <x v="47"/>
    <x v="3"/>
    <n v="1.91"/>
    <n v="238.35"/>
    <n v="0.01"/>
    <n v="0.01"/>
    <n v="1248"/>
    <n v="43"/>
  </r>
  <r>
    <x v="11"/>
    <x v="35"/>
    <x v="3"/>
    <n v="1.82"/>
    <n v="113.4"/>
    <n v="0.01"/>
    <n v="0"/>
    <n v="623"/>
    <n v="44"/>
  </r>
  <r>
    <x v="11"/>
    <x v="50"/>
    <x v="3"/>
    <n v="1.46"/>
    <n v="111.94"/>
    <n v="0.01"/>
    <n v="0"/>
    <n v="767"/>
    <n v="45"/>
  </r>
  <r>
    <x v="11"/>
    <x v="31"/>
    <x v="3"/>
    <n v="1.26"/>
    <n v="281.52999999999997"/>
    <n v="0.01"/>
    <n v="0.01"/>
    <n v="2234"/>
    <n v="46"/>
  </r>
  <r>
    <x v="11"/>
    <x v="43"/>
    <x v="3"/>
    <n v="1.21"/>
    <n v="151.55000000000001"/>
    <n v="0.01"/>
    <n v="0.01"/>
    <n v="1252"/>
    <n v="47"/>
  </r>
  <r>
    <x v="11"/>
    <x v="46"/>
    <x v="3"/>
    <n v="1.1000000000000001"/>
    <n v="365.04"/>
    <n v="0.01"/>
    <n v="0.01"/>
    <n v="3319"/>
    <n v="48"/>
  </r>
  <r>
    <x v="11"/>
    <x v="79"/>
    <x v="3"/>
    <n v="1.03"/>
    <n v="74.94"/>
    <n v="0.01"/>
    <n v="0"/>
    <n v="728"/>
    <n v="49"/>
  </r>
  <r>
    <x v="11"/>
    <x v="41"/>
    <x v="3"/>
    <n v="0.9"/>
    <n v="248.87"/>
    <n v="0"/>
    <n v="0.01"/>
    <n v="2765"/>
    <n v="50"/>
  </r>
  <r>
    <x v="11"/>
    <x v="40"/>
    <x v="3"/>
    <n v="0.84"/>
    <n v="259.85000000000002"/>
    <n v="0"/>
    <n v="0.01"/>
    <n v="3093"/>
    <n v="51"/>
  </r>
  <r>
    <x v="11"/>
    <x v="67"/>
    <x v="3"/>
    <n v="0.76"/>
    <n v="884.64"/>
    <n v="0"/>
    <n v="0.04"/>
    <n v="11640"/>
    <n v="52"/>
  </r>
  <r>
    <x v="11"/>
    <x v="42"/>
    <x v="3"/>
    <n v="0.75"/>
    <n v="252.29"/>
    <n v="0"/>
    <n v="0.01"/>
    <n v="3364"/>
    <n v="53"/>
  </r>
  <r>
    <x v="11"/>
    <x v="81"/>
    <x v="3"/>
    <n v="0.71"/>
    <n v="60.21"/>
    <n v="0"/>
    <n v="0"/>
    <n v="848"/>
    <n v="54"/>
  </r>
  <r>
    <x v="11"/>
    <x v="37"/>
    <x v="3"/>
    <n v="0.71"/>
    <n v="161.41999999999999"/>
    <n v="0"/>
    <n v="0.01"/>
    <n v="2274"/>
    <n v="54"/>
  </r>
  <r>
    <x v="11"/>
    <x v="44"/>
    <x v="3"/>
    <n v="0.69"/>
    <n v="68.05"/>
    <n v="0"/>
    <n v="0"/>
    <n v="986"/>
    <n v="56"/>
  </r>
  <r>
    <x v="11"/>
    <x v="45"/>
    <x v="3"/>
    <n v="0.68"/>
    <n v="208.06"/>
    <n v="0"/>
    <n v="0.01"/>
    <n v="3060"/>
    <n v="57"/>
  </r>
  <r>
    <x v="11"/>
    <x v="76"/>
    <x v="3"/>
    <n v="0.59"/>
    <n v="63.66"/>
    <n v="0"/>
    <n v="0"/>
    <n v="1079"/>
    <n v="58"/>
  </r>
  <r>
    <x v="11"/>
    <x v="51"/>
    <x v="3"/>
    <n v="0.53"/>
    <n v="130.16"/>
    <n v="0"/>
    <n v="0.01"/>
    <n v="2456"/>
    <n v="59"/>
  </r>
  <r>
    <x v="11"/>
    <x v="69"/>
    <x v="3"/>
    <n v="0.53"/>
    <n v="24.31"/>
    <n v="0"/>
    <n v="0"/>
    <n v="459"/>
    <n v="59"/>
  </r>
  <r>
    <x v="11"/>
    <x v="52"/>
    <x v="3"/>
    <n v="0.52"/>
    <n v="155.47"/>
    <n v="0"/>
    <n v="0.01"/>
    <n v="2990"/>
    <n v="61"/>
  </r>
  <r>
    <x v="11"/>
    <x v="39"/>
    <x v="3"/>
    <n v="0.42"/>
    <n v="28.13"/>
    <n v="0"/>
    <n v="0"/>
    <n v="670"/>
    <n v="62"/>
  </r>
  <r>
    <x v="11"/>
    <x v="56"/>
    <x v="3"/>
    <n v="0.3"/>
    <n v="93.6"/>
    <n v="0"/>
    <n v="0"/>
    <n v="3120"/>
    <n v="63"/>
  </r>
  <r>
    <x v="11"/>
    <x v="80"/>
    <x v="3"/>
    <n v="0.3"/>
    <n v="26.1"/>
    <n v="0"/>
    <n v="0"/>
    <n v="870"/>
    <n v="63"/>
  </r>
  <r>
    <x v="11"/>
    <x v="55"/>
    <x v="3"/>
    <n v="0.27"/>
    <n v="60.71"/>
    <n v="0"/>
    <n v="0"/>
    <n v="2249"/>
    <n v="65"/>
  </r>
  <r>
    <x v="11"/>
    <x v="53"/>
    <x v="3"/>
    <n v="0.26"/>
    <n v="64.38"/>
    <n v="0"/>
    <n v="0"/>
    <n v="2476"/>
    <n v="66"/>
  </r>
  <r>
    <x v="11"/>
    <x v="54"/>
    <x v="3"/>
    <n v="0.26"/>
    <n v="123.33"/>
    <n v="0"/>
    <n v="0"/>
    <n v="4743"/>
    <n v="66"/>
  </r>
  <r>
    <x v="11"/>
    <x v="64"/>
    <x v="3"/>
    <n v="0.24"/>
    <n v="25"/>
    <n v="0"/>
    <n v="0"/>
    <n v="1042"/>
    <n v="68"/>
  </r>
  <r>
    <x v="11"/>
    <x v="57"/>
    <x v="3"/>
    <n v="0.22"/>
    <n v="9.85"/>
    <n v="0"/>
    <n v="0"/>
    <n v="448"/>
    <n v="69"/>
  </r>
  <r>
    <x v="11"/>
    <x v="60"/>
    <x v="3"/>
    <n v="0.17"/>
    <n v="67.08"/>
    <n v="0"/>
    <n v="0"/>
    <n v="3946"/>
    <n v="70"/>
  </r>
  <r>
    <x v="11"/>
    <x v="66"/>
    <x v="3"/>
    <n v="0.15"/>
    <n v="4.9000000000000004"/>
    <n v="0"/>
    <n v="0"/>
    <n v="327"/>
    <n v="71"/>
  </r>
  <r>
    <x v="11"/>
    <x v="84"/>
    <x v="3"/>
    <n v="0.11"/>
    <n v="16.77"/>
    <n v="0"/>
    <n v="0"/>
    <n v="1525"/>
    <n v="72"/>
  </r>
  <r>
    <x v="11"/>
    <x v="68"/>
    <x v="3"/>
    <n v="0.11"/>
    <n v="38.33"/>
    <n v="0"/>
    <n v="0"/>
    <n v="3485"/>
    <n v="72"/>
  </r>
  <r>
    <x v="11"/>
    <x v="58"/>
    <x v="3"/>
    <n v="0.1"/>
    <n v="7.48"/>
    <n v="0"/>
    <n v="0"/>
    <n v="748"/>
    <n v="74"/>
  </r>
  <r>
    <x v="11"/>
    <x v="63"/>
    <x v="3"/>
    <n v="0.1"/>
    <n v="33.36"/>
    <n v="0"/>
    <n v="0"/>
    <n v="3336"/>
    <n v="74"/>
  </r>
  <r>
    <x v="11"/>
    <x v="59"/>
    <x v="3"/>
    <n v="0.09"/>
    <n v="22.11"/>
    <n v="0"/>
    <n v="0"/>
    <n v="2457"/>
    <n v="76"/>
  </r>
  <r>
    <x v="11"/>
    <x v="62"/>
    <x v="3"/>
    <n v="7.0000000000000007E-2"/>
    <n v="28.22"/>
    <n v="0"/>
    <n v="0"/>
    <n v="4031"/>
    <n v="77"/>
  </r>
  <r>
    <x v="11"/>
    <x v="85"/>
    <x v="3"/>
    <n v="7.0000000000000007E-2"/>
    <n v="19.760000000000002"/>
    <n v="0"/>
    <n v="0"/>
    <n v="2823"/>
    <n v="77"/>
  </r>
  <r>
    <x v="11"/>
    <x v="86"/>
    <x v="3"/>
    <n v="0.04"/>
    <n v="4"/>
    <n v="0"/>
    <n v="0"/>
    <n v="1000"/>
    <n v="79"/>
  </r>
  <r>
    <x v="11"/>
    <x v="88"/>
    <x v="3"/>
    <n v="0.04"/>
    <n v="1.1399999999999999"/>
    <n v="0"/>
    <n v="0"/>
    <n v="285"/>
    <n v="79"/>
  </r>
  <r>
    <x v="11"/>
    <x v="70"/>
    <x v="3"/>
    <n v="0.04"/>
    <n v="2.4300000000000002"/>
    <n v="0"/>
    <n v="0"/>
    <n v="608"/>
    <n v="79"/>
  </r>
  <r>
    <x v="11"/>
    <x v="87"/>
    <x v="3"/>
    <n v="0.03"/>
    <n v="4.18"/>
    <n v="0"/>
    <n v="0"/>
    <n v="1393"/>
    <n v="82"/>
  </r>
  <r>
    <x v="11"/>
    <x v="71"/>
    <x v="3"/>
    <n v="0.02"/>
    <n v="6.63"/>
    <n v="0"/>
    <n v="0"/>
    <n v="3315"/>
    <n v="83"/>
  </r>
  <r>
    <x v="12"/>
    <x v="0"/>
    <x v="0"/>
    <n v="8961.7800000000007"/>
    <n v="1203787.9099999999"/>
    <n v="45.65"/>
    <n v="48.35"/>
    <n v="1343"/>
    <n v="1"/>
  </r>
  <r>
    <x v="12"/>
    <x v="1"/>
    <x v="1"/>
    <n v="6832.93"/>
    <n v="873639.91"/>
    <n v="34.799999999999997"/>
    <n v="35.090000000000003"/>
    <n v="1279"/>
    <n v="2"/>
  </r>
  <r>
    <x v="12"/>
    <x v="2"/>
    <x v="2"/>
    <n v="1394.07"/>
    <n v="145134.78"/>
    <n v="7.1"/>
    <n v="5.83"/>
    <n v="1041"/>
    <n v="3"/>
  </r>
  <r>
    <x v="12"/>
    <x v="4"/>
    <x v="3"/>
    <n v="526.02"/>
    <n v="26510.97"/>
    <n v="2.68"/>
    <n v="1.06"/>
    <n v="504"/>
    <n v="4"/>
  </r>
  <r>
    <x v="12"/>
    <x v="14"/>
    <x v="3"/>
    <n v="256.33999999999997"/>
    <n v="9852.44"/>
    <n v="1.31"/>
    <n v="0.4"/>
    <n v="384"/>
    <n v="5"/>
  </r>
  <r>
    <x v="12"/>
    <x v="5"/>
    <x v="3"/>
    <n v="158.05000000000001"/>
    <n v="14911.36"/>
    <n v="0.81"/>
    <n v="0.6"/>
    <n v="943"/>
    <n v="6"/>
  </r>
  <r>
    <x v="12"/>
    <x v="3"/>
    <x v="3"/>
    <n v="147.86000000000001"/>
    <n v="54796.41"/>
    <n v="0.75"/>
    <n v="2.2000000000000002"/>
    <n v="3706"/>
    <n v="7"/>
  </r>
  <r>
    <x v="12"/>
    <x v="7"/>
    <x v="3"/>
    <n v="140.01"/>
    <n v="1751.77"/>
    <n v="0.71"/>
    <n v="7.0000000000000007E-2"/>
    <n v="125"/>
    <n v="8"/>
  </r>
  <r>
    <x v="12"/>
    <x v="13"/>
    <x v="3"/>
    <n v="110.84"/>
    <n v="16273.38"/>
    <n v="0.56000000000000005"/>
    <n v="0.65"/>
    <n v="1468"/>
    <n v="9"/>
  </r>
  <r>
    <x v="12"/>
    <x v="6"/>
    <x v="3"/>
    <n v="91.4"/>
    <n v="10234.84"/>
    <n v="0.47"/>
    <n v="0.41"/>
    <n v="1120"/>
    <n v="10"/>
  </r>
  <r>
    <x v="12"/>
    <x v="9"/>
    <x v="3"/>
    <n v="79.75"/>
    <n v="5768.86"/>
    <n v="0.41"/>
    <n v="0.23"/>
    <n v="723"/>
    <n v="11"/>
  </r>
  <r>
    <x v="12"/>
    <x v="10"/>
    <x v="3"/>
    <n v="75.459999999999994"/>
    <n v="9168.77"/>
    <n v="0.38"/>
    <n v="0.37"/>
    <n v="1215"/>
    <n v="12"/>
  </r>
  <r>
    <x v="12"/>
    <x v="11"/>
    <x v="3"/>
    <n v="74.599999999999994"/>
    <n v="16420.63"/>
    <n v="0.38"/>
    <n v="0.66"/>
    <n v="2201"/>
    <n v="13"/>
  </r>
  <r>
    <x v="12"/>
    <x v="8"/>
    <x v="3"/>
    <n v="74.099999999999994"/>
    <n v="16624.59"/>
    <n v="0.38"/>
    <n v="0.67"/>
    <n v="2244"/>
    <n v="14"/>
  </r>
  <r>
    <x v="12"/>
    <x v="32"/>
    <x v="3"/>
    <n v="51.61"/>
    <n v="1953.68"/>
    <n v="0.26"/>
    <n v="0.08"/>
    <n v="379"/>
    <n v="15"/>
  </r>
  <r>
    <x v="12"/>
    <x v="12"/>
    <x v="3"/>
    <n v="47.75"/>
    <n v="6758.44"/>
    <n v="0.24"/>
    <n v="0.27"/>
    <n v="1415"/>
    <n v="16"/>
  </r>
  <r>
    <x v="12"/>
    <x v="16"/>
    <x v="3"/>
    <n v="46.95"/>
    <n v="5761.51"/>
    <n v="0.24"/>
    <n v="0.23"/>
    <n v="1227"/>
    <n v="17"/>
  </r>
  <r>
    <x v="12"/>
    <x v="20"/>
    <x v="3"/>
    <n v="22.62"/>
    <n v="3014.8"/>
    <n v="0.12"/>
    <n v="0.12"/>
    <n v="1333"/>
    <n v="18"/>
  </r>
  <r>
    <x v="12"/>
    <x v="15"/>
    <x v="3"/>
    <n v="17.34"/>
    <n v="1290.54"/>
    <n v="0.09"/>
    <n v="0.05"/>
    <n v="744"/>
    <n v="19"/>
  </r>
  <r>
    <x v="12"/>
    <x v="24"/>
    <x v="3"/>
    <n v="16.809999999999999"/>
    <n v="1625.33"/>
    <n v="0.09"/>
    <n v="7.0000000000000007E-2"/>
    <n v="967"/>
    <n v="20"/>
  </r>
  <r>
    <x v="12"/>
    <x v="65"/>
    <x v="3"/>
    <n v="16.07"/>
    <n v="1357.79"/>
    <n v="0.08"/>
    <n v="0.05"/>
    <n v="845"/>
    <n v="21"/>
  </r>
  <r>
    <x v="12"/>
    <x v="17"/>
    <x v="3"/>
    <n v="14.17"/>
    <n v="10098.51"/>
    <n v="7.0000000000000007E-2"/>
    <n v="0.41"/>
    <n v="7127"/>
    <n v="22"/>
  </r>
  <r>
    <x v="12"/>
    <x v="22"/>
    <x v="3"/>
    <n v="13.14"/>
    <n v="2718.78"/>
    <n v="7.0000000000000007E-2"/>
    <n v="0.11"/>
    <n v="2069"/>
    <n v="23"/>
  </r>
  <r>
    <x v="12"/>
    <x v="21"/>
    <x v="3"/>
    <n v="12.18"/>
    <n v="3614.58"/>
    <n v="0.06"/>
    <n v="0.15"/>
    <n v="2968"/>
    <n v="24"/>
  </r>
  <r>
    <x v="12"/>
    <x v="19"/>
    <x v="3"/>
    <n v="12.01"/>
    <n v="2520.3000000000002"/>
    <n v="0.06"/>
    <n v="0.1"/>
    <n v="2099"/>
    <n v="25"/>
  </r>
  <r>
    <x v="12"/>
    <x v="23"/>
    <x v="3"/>
    <n v="9.9"/>
    <n v="676.36"/>
    <n v="0.05"/>
    <n v="0.03"/>
    <n v="683"/>
    <n v="26"/>
  </r>
  <r>
    <x v="12"/>
    <x v="34"/>
    <x v="3"/>
    <n v="7.92"/>
    <n v="1546.1"/>
    <n v="0.04"/>
    <n v="0.06"/>
    <n v="1952"/>
    <n v="27"/>
  </r>
  <r>
    <x v="12"/>
    <x v="25"/>
    <x v="3"/>
    <n v="6.61"/>
    <n v="1330.79"/>
    <n v="0.03"/>
    <n v="0.05"/>
    <n v="2013"/>
    <n v="28"/>
  </r>
  <r>
    <x v="12"/>
    <x v="26"/>
    <x v="3"/>
    <n v="6.06"/>
    <n v="958.38"/>
    <n v="0.03"/>
    <n v="0.04"/>
    <n v="1581"/>
    <n v="29"/>
  </r>
  <r>
    <x v="12"/>
    <x v="29"/>
    <x v="3"/>
    <n v="5"/>
    <n v="344.89"/>
    <n v="0.03"/>
    <n v="0.01"/>
    <n v="690"/>
    <n v="30"/>
  </r>
  <r>
    <x v="12"/>
    <x v="27"/>
    <x v="3"/>
    <n v="4.63"/>
    <n v="765.38"/>
    <n v="0.02"/>
    <n v="0.03"/>
    <n v="1653"/>
    <n v="31"/>
  </r>
  <r>
    <x v="12"/>
    <x v="28"/>
    <x v="3"/>
    <n v="4.2699999999999996"/>
    <n v="1049.05"/>
    <n v="0.02"/>
    <n v="0.04"/>
    <n v="2457"/>
    <n v="32"/>
  </r>
  <r>
    <x v="12"/>
    <x v="30"/>
    <x v="3"/>
    <n v="3.88"/>
    <n v="983.32"/>
    <n v="0.02"/>
    <n v="0.04"/>
    <n v="2534"/>
    <n v="33"/>
  </r>
  <r>
    <x v="12"/>
    <x v="18"/>
    <x v="3"/>
    <n v="3.58"/>
    <n v="263.48"/>
    <n v="0.02"/>
    <n v="0.01"/>
    <n v="736"/>
    <n v="34"/>
  </r>
  <r>
    <x v="12"/>
    <x v="33"/>
    <x v="3"/>
    <n v="2.98"/>
    <n v="41.89"/>
    <n v="0.02"/>
    <n v="0"/>
    <n v="141"/>
    <n v="35"/>
  </r>
  <r>
    <x v="12"/>
    <x v="75"/>
    <x v="3"/>
    <n v="2.66"/>
    <n v="382.26"/>
    <n v="0.01"/>
    <n v="0.02"/>
    <n v="1437"/>
    <n v="36"/>
  </r>
  <r>
    <x v="12"/>
    <x v="82"/>
    <x v="3"/>
    <n v="2.61"/>
    <n v="870.13"/>
    <n v="0.01"/>
    <n v="0.03"/>
    <n v="3334"/>
    <n v="37"/>
  </r>
  <r>
    <x v="12"/>
    <x v="36"/>
    <x v="3"/>
    <n v="2.59"/>
    <n v="611.74"/>
    <n v="0.01"/>
    <n v="0.02"/>
    <n v="2362"/>
    <n v="38"/>
  </r>
  <r>
    <x v="12"/>
    <x v="49"/>
    <x v="3"/>
    <n v="2.5"/>
    <n v="306.62"/>
    <n v="0.01"/>
    <n v="0.01"/>
    <n v="1226"/>
    <n v="39"/>
  </r>
  <r>
    <x v="12"/>
    <x v="38"/>
    <x v="3"/>
    <n v="2.38"/>
    <n v="348.51"/>
    <n v="0.01"/>
    <n v="0.01"/>
    <n v="1464"/>
    <n v="40"/>
  </r>
  <r>
    <x v="12"/>
    <x v="61"/>
    <x v="3"/>
    <n v="2.0499999999999998"/>
    <n v="216.31"/>
    <n v="0.01"/>
    <n v="0.01"/>
    <n v="1055"/>
    <n v="41"/>
  </r>
  <r>
    <x v="12"/>
    <x v="35"/>
    <x v="3"/>
    <n v="1.86"/>
    <n v="118.22"/>
    <n v="0.01"/>
    <n v="0"/>
    <n v="636"/>
    <n v="42"/>
  </r>
  <r>
    <x v="12"/>
    <x v="48"/>
    <x v="3"/>
    <n v="1.81"/>
    <n v="136.08000000000001"/>
    <n v="0.01"/>
    <n v="0.01"/>
    <n v="752"/>
    <n v="43"/>
  </r>
  <r>
    <x v="12"/>
    <x v="50"/>
    <x v="3"/>
    <n v="1.68"/>
    <n v="13.47"/>
    <n v="0.01"/>
    <n v="0"/>
    <n v="80"/>
    <n v="44"/>
  </r>
  <r>
    <x v="12"/>
    <x v="47"/>
    <x v="3"/>
    <n v="1.67"/>
    <n v="222.41"/>
    <n v="0.01"/>
    <n v="0.01"/>
    <n v="1332"/>
    <n v="45"/>
  </r>
  <r>
    <x v="12"/>
    <x v="31"/>
    <x v="3"/>
    <n v="1.38"/>
    <n v="316.14"/>
    <n v="0.01"/>
    <n v="0.01"/>
    <n v="2291"/>
    <n v="46"/>
  </r>
  <r>
    <x v="12"/>
    <x v="43"/>
    <x v="3"/>
    <n v="1.22"/>
    <n v="145.88999999999999"/>
    <n v="0.01"/>
    <n v="0.01"/>
    <n v="1196"/>
    <n v="47"/>
  </r>
  <r>
    <x v="12"/>
    <x v="79"/>
    <x v="3"/>
    <n v="1.0900000000000001"/>
    <n v="87.15"/>
    <n v="0.01"/>
    <n v="0"/>
    <n v="800"/>
    <n v="48"/>
  </r>
  <r>
    <x v="12"/>
    <x v="46"/>
    <x v="3"/>
    <n v="1.05"/>
    <n v="352.31"/>
    <n v="0.01"/>
    <n v="0.01"/>
    <n v="3355"/>
    <n v="49"/>
  </r>
  <r>
    <x v="12"/>
    <x v="41"/>
    <x v="3"/>
    <n v="0.86"/>
    <n v="248.26"/>
    <n v="0"/>
    <n v="0.01"/>
    <n v="2887"/>
    <n v="50"/>
  </r>
  <r>
    <x v="12"/>
    <x v="44"/>
    <x v="3"/>
    <n v="0.78"/>
    <n v="69.88"/>
    <n v="0"/>
    <n v="0"/>
    <n v="896"/>
    <n v="51"/>
  </r>
  <r>
    <x v="12"/>
    <x v="40"/>
    <x v="3"/>
    <n v="0.73"/>
    <n v="232.38"/>
    <n v="0"/>
    <n v="0.01"/>
    <n v="3183"/>
    <n v="52"/>
  </r>
  <r>
    <x v="12"/>
    <x v="42"/>
    <x v="3"/>
    <n v="0.73"/>
    <n v="250.9"/>
    <n v="0"/>
    <n v="0.01"/>
    <n v="3437"/>
    <n v="52"/>
  </r>
  <r>
    <x v="12"/>
    <x v="67"/>
    <x v="3"/>
    <n v="0.71"/>
    <n v="827.92"/>
    <n v="0"/>
    <n v="0.03"/>
    <n v="11661"/>
    <n v="54"/>
  </r>
  <r>
    <x v="12"/>
    <x v="45"/>
    <x v="3"/>
    <n v="0.69"/>
    <n v="221.41"/>
    <n v="0"/>
    <n v="0.01"/>
    <n v="3209"/>
    <n v="55"/>
  </r>
  <r>
    <x v="12"/>
    <x v="76"/>
    <x v="3"/>
    <n v="0.67"/>
    <n v="65.430000000000007"/>
    <n v="0"/>
    <n v="0"/>
    <n v="977"/>
    <n v="56"/>
  </r>
  <r>
    <x v="12"/>
    <x v="81"/>
    <x v="3"/>
    <n v="0.67"/>
    <n v="54.86"/>
    <n v="0"/>
    <n v="0"/>
    <n v="819"/>
    <n v="56"/>
  </r>
  <r>
    <x v="12"/>
    <x v="39"/>
    <x v="3"/>
    <n v="0.56000000000000005"/>
    <n v="25.14"/>
    <n v="0"/>
    <n v="0"/>
    <n v="449"/>
    <n v="58"/>
  </r>
  <r>
    <x v="12"/>
    <x v="37"/>
    <x v="3"/>
    <n v="0.55000000000000004"/>
    <n v="137.29"/>
    <n v="0"/>
    <n v="0.01"/>
    <n v="2496"/>
    <n v="59"/>
  </r>
  <r>
    <x v="12"/>
    <x v="51"/>
    <x v="3"/>
    <n v="0.54"/>
    <n v="140.38999999999999"/>
    <n v="0"/>
    <n v="0.01"/>
    <n v="2600"/>
    <n v="60"/>
  </r>
  <r>
    <x v="12"/>
    <x v="52"/>
    <x v="3"/>
    <n v="0.5"/>
    <n v="159.6"/>
    <n v="0"/>
    <n v="0.01"/>
    <n v="3192"/>
    <n v="61"/>
  </r>
  <r>
    <x v="12"/>
    <x v="69"/>
    <x v="3"/>
    <n v="0.49"/>
    <n v="22.88"/>
    <n v="0"/>
    <n v="0"/>
    <n v="467"/>
    <n v="62"/>
  </r>
  <r>
    <x v="12"/>
    <x v="56"/>
    <x v="3"/>
    <n v="0.32"/>
    <n v="101.51"/>
    <n v="0"/>
    <n v="0"/>
    <n v="3172"/>
    <n v="63"/>
  </r>
  <r>
    <x v="12"/>
    <x v="80"/>
    <x v="3"/>
    <n v="0.3"/>
    <n v="28.07"/>
    <n v="0"/>
    <n v="0"/>
    <n v="936"/>
    <n v="64"/>
  </r>
  <r>
    <x v="12"/>
    <x v="55"/>
    <x v="3"/>
    <n v="0.27"/>
    <n v="62.58"/>
    <n v="0"/>
    <n v="0"/>
    <n v="2318"/>
    <n v="65"/>
  </r>
  <r>
    <x v="12"/>
    <x v="54"/>
    <x v="3"/>
    <n v="0.25"/>
    <n v="113.63"/>
    <n v="0"/>
    <n v="0"/>
    <n v="4545"/>
    <n v="66"/>
  </r>
  <r>
    <x v="12"/>
    <x v="53"/>
    <x v="3"/>
    <n v="0.24"/>
    <n v="62.77"/>
    <n v="0"/>
    <n v="0"/>
    <n v="2615"/>
    <n v="67"/>
  </r>
  <r>
    <x v="12"/>
    <x v="64"/>
    <x v="3"/>
    <n v="0.23"/>
    <n v="24.83"/>
    <n v="0"/>
    <n v="0"/>
    <n v="1080"/>
    <n v="68"/>
  </r>
  <r>
    <x v="12"/>
    <x v="57"/>
    <x v="3"/>
    <n v="0.23"/>
    <n v="10.7"/>
    <n v="0"/>
    <n v="0"/>
    <n v="465"/>
    <n v="68"/>
  </r>
  <r>
    <x v="12"/>
    <x v="60"/>
    <x v="3"/>
    <n v="0.17"/>
    <n v="69.180000000000007"/>
    <n v="0"/>
    <n v="0"/>
    <n v="4069"/>
    <n v="70"/>
  </r>
  <r>
    <x v="12"/>
    <x v="88"/>
    <x v="3"/>
    <n v="0.14000000000000001"/>
    <n v="3.13"/>
    <n v="0"/>
    <n v="0"/>
    <n v="224"/>
    <n v="71"/>
  </r>
  <r>
    <x v="12"/>
    <x v="66"/>
    <x v="3"/>
    <n v="0.13"/>
    <n v="4.49"/>
    <n v="0"/>
    <n v="0"/>
    <n v="345"/>
    <n v="72"/>
  </r>
  <r>
    <x v="12"/>
    <x v="84"/>
    <x v="3"/>
    <n v="0.13"/>
    <n v="19.72"/>
    <n v="0"/>
    <n v="0"/>
    <n v="1517"/>
    <n v="72"/>
  </r>
  <r>
    <x v="12"/>
    <x v="68"/>
    <x v="3"/>
    <n v="0.11"/>
    <n v="40.619999999999997"/>
    <n v="0"/>
    <n v="0"/>
    <n v="3693"/>
    <n v="74"/>
  </r>
  <r>
    <x v="12"/>
    <x v="63"/>
    <x v="3"/>
    <n v="0.1"/>
    <n v="36.17"/>
    <n v="0"/>
    <n v="0"/>
    <n v="3617"/>
    <n v="75"/>
  </r>
  <r>
    <x v="12"/>
    <x v="58"/>
    <x v="3"/>
    <n v="0.09"/>
    <n v="6.96"/>
    <n v="0"/>
    <n v="0"/>
    <n v="773"/>
    <n v="76"/>
  </r>
  <r>
    <x v="12"/>
    <x v="62"/>
    <x v="3"/>
    <n v="0.08"/>
    <n v="31.81"/>
    <n v="0"/>
    <n v="0"/>
    <n v="3976"/>
    <n v="77"/>
  </r>
  <r>
    <x v="12"/>
    <x v="85"/>
    <x v="3"/>
    <n v="7.0000000000000007E-2"/>
    <n v="21.92"/>
    <n v="0"/>
    <n v="0"/>
    <n v="3131"/>
    <n v="78"/>
  </r>
  <r>
    <x v="12"/>
    <x v="59"/>
    <x v="3"/>
    <n v="0.05"/>
    <n v="13.16"/>
    <n v="0"/>
    <n v="0"/>
    <n v="2632"/>
    <n v="79"/>
  </r>
  <r>
    <x v="12"/>
    <x v="89"/>
    <x v="3"/>
    <n v="0.05"/>
    <n v="2.1800000000000002"/>
    <n v="0"/>
    <n v="0"/>
    <n v="436"/>
    <n v="79"/>
  </r>
  <r>
    <x v="12"/>
    <x v="86"/>
    <x v="3"/>
    <n v="0.05"/>
    <n v="4.05"/>
    <n v="0"/>
    <n v="0"/>
    <n v="810"/>
    <n v="79"/>
  </r>
  <r>
    <x v="12"/>
    <x v="87"/>
    <x v="3"/>
    <n v="0.03"/>
    <n v="5.49"/>
    <n v="0"/>
    <n v="0"/>
    <n v="1830"/>
    <n v="82"/>
  </r>
  <r>
    <x v="12"/>
    <x v="70"/>
    <x v="3"/>
    <n v="0.03"/>
    <n v="1.96"/>
    <n v="0"/>
    <n v="0"/>
    <n v="653"/>
    <n v="82"/>
  </r>
  <r>
    <x v="12"/>
    <x v="71"/>
    <x v="3"/>
    <n v="0.02"/>
    <n v="7.21"/>
    <n v="0"/>
    <n v="0"/>
    <n v="3605"/>
    <n v="84"/>
  </r>
  <r>
    <x v="12"/>
    <x v="72"/>
    <x v="3"/>
    <n v="0.02"/>
    <n v="7.23"/>
    <n v="0"/>
    <n v="0"/>
    <n v="3615"/>
    <n v="84"/>
  </r>
  <r>
    <x v="13"/>
    <x v="0"/>
    <x v="0"/>
    <n v="9410.5499999999993"/>
    <n v="1306265.2"/>
    <n v="45.46"/>
    <n v="47.89"/>
    <n v="1388"/>
    <n v="1"/>
  </r>
  <r>
    <x v="13"/>
    <x v="1"/>
    <x v="1"/>
    <n v="7164.43"/>
    <n v="954048.01"/>
    <n v="34.61"/>
    <n v="34.979999999999997"/>
    <n v="1332"/>
    <n v="2"/>
  </r>
  <r>
    <x v="13"/>
    <x v="2"/>
    <x v="2"/>
    <n v="1498.54"/>
    <n v="166629.1"/>
    <n v="7.24"/>
    <n v="6.11"/>
    <n v="1112"/>
    <n v="3"/>
  </r>
  <r>
    <x v="13"/>
    <x v="4"/>
    <x v="3"/>
    <n v="573.79"/>
    <n v="30599.37"/>
    <n v="2.77"/>
    <n v="1.1200000000000001"/>
    <n v="533"/>
    <n v="4"/>
  </r>
  <r>
    <x v="13"/>
    <x v="14"/>
    <x v="3"/>
    <n v="264.77"/>
    <n v="10962.09"/>
    <n v="1.28"/>
    <n v="0.4"/>
    <n v="414"/>
    <n v="5"/>
  </r>
  <r>
    <x v="13"/>
    <x v="3"/>
    <x v="3"/>
    <n v="157.99"/>
    <n v="62438.03"/>
    <n v="0.76"/>
    <n v="2.29"/>
    <n v="3952"/>
    <n v="6"/>
  </r>
  <r>
    <x v="13"/>
    <x v="7"/>
    <x v="3"/>
    <n v="146.03"/>
    <n v="1900.99"/>
    <n v="0.71"/>
    <n v="7.0000000000000007E-2"/>
    <n v="130"/>
    <n v="7"/>
  </r>
  <r>
    <x v="13"/>
    <x v="13"/>
    <x v="3"/>
    <n v="124.25"/>
    <n v="19376.259999999998"/>
    <n v="0.6"/>
    <n v="0.71"/>
    <n v="1559"/>
    <n v="8"/>
  </r>
  <r>
    <x v="13"/>
    <x v="5"/>
    <x v="3"/>
    <n v="113.58"/>
    <n v="15761.25"/>
    <n v="0.55000000000000004"/>
    <n v="0.57999999999999996"/>
    <n v="1388"/>
    <n v="9"/>
  </r>
  <r>
    <x v="13"/>
    <x v="6"/>
    <x v="3"/>
    <n v="91.65"/>
    <n v="10710.43"/>
    <n v="0.44"/>
    <n v="0.39"/>
    <n v="1169"/>
    <n v="10"/>
  </r>
  <r>
    <x v="13"/>
    <x v="10"/>
    <x v="3"/>
    <n v="85.14"/>
    <n v="10842.97"/>
    <n v="0.41"/>
    <n v="0.4"/>
    <n v="1274"/>
    <n v="11"/>
  </r>
  <r>
    <x v="13"/>
    <x v="9"/>
    <x v="3"/>
    <n v="84.35"/>
    <n v="6512.78"/>
    <n v="0.41"/>
    <n v="0.24"/>
    <n v="772"/>
    <n v="12"/>
  </r>
  <r>
    <x v="13"/>
    <x v="11"/>
    <x v="3"/>
    <n v="80.37"/>
    <n v="18623.689999999999"/>
    <n v="0.39"/>
    <n v="0.68"/>
    <n v="2317"/>
    <n v="13"/>
  </r>
  <r>
    <x v="13"/>
    <x v="8"/>
    <x v="3"/>
    <n v="73.2"/>
    <n v="18114.84"/>
    <n v="0.35"/>
    <n v="0.66"/>
    <n v="2475"/>
    <n v="14"/>
  </r>
  <r>
    <x v="13"/>
    <x v="12"/>
    <x v="3"/>
    <n v="54.81"/>
    <n v="7495.68"/>
    <n v="0.26"/>
    <n v="0.27"/>
    <n v="1368"/>
    <n v="15"/>
  </r>
  <r>
    <x v="13"/>
    <x v="16"/>
    <x v="3"/>
    <n v="52.39"/>
    <n v="6500.58"/>
    <n v="0.25"/>
    <n v="0.24"/>
    <n v="1241"/>
    <n v="16"/>
  </r>
  <r>
    <x v="13"/>
    <x v="32"/>
    <x v="3"/>
    <n v="38.92"/>
    <n v="1700.27"/>
    <n v="0.19"/>
    <n v="0.06"/>
    <n v="437"/>
    <n v="17"/>
  </r>
  <r>
    <x v="13"/>
    <x v="20"/>
    <x v="3"/>
    <n v="25.1"/>
    <n v="3155.16"/>
    <n v="0.12"/>
    <n v="0.12"/>
    <n v="1257"/>
    <n v="18"/>
  </r>
  <r>
    <x v="13"/>
    <x v="24"/>
    <x v="3"/>
    <n v="17.97"/>
    <n v="1879.52"/>
    <n v="0.09"/>
    <n v="7.0000000000000007E-2"/>
    <n v="1046"/>
    <n v="19"/>
  </r>
  <r>
    <x v="13"/>
    <x v="15"/>
    <x v="3"/>
    <n v="17.43"/>
    <n v="1340.02"/>
    <n v="0.08"/>
    <n v="0.05"/>
    <n v="769"/>
    <n v="20"/>
  </r>
  <r>
    <x v="13"/>
    <x v="17"/>
    <x v="3"/>
    <n v="15.87"/>
    <n v="12555.52"/>
    <n v="0.08"/>
    <n v="0.46"/>
    <n v="7911"/>
    <n v="21"/>
  </r>
  <r>
    <x v="13"/>
    <x v="22"/>
    <x v="3"/>
    <n v="13.74"/>
    <n v="3041.73"/>
    <n v="7.0000000000000007E-2"/>
    <n v="0.11"/>
    <n v="2214"/>
    <n v="22"/>
  </r>
  <r>
    <x v="13"/>
    <x v="21"/>
    <x v="3"/>
    <n v="12.9"/>
    <n v="4041.65"/>
    <n v="0.06"/>
    <n v="0.15"/>
    <n v="3133"/>
    <n v="23"/>
  </r>
  <r>
    <x v="13"/>
    <x v="19"/>
    <x v="3"/>
    <n v="12.82"/>
    <n v="2599.2800000000002"/>
    <n v="0.06"/>
    <n v="0.1"/>
    <n v="2028"/>
    <n v="24"/>
  </r>
  <r>
    <x v="13"/>
    <x v="23"/>
    <x v="3"/>
    <n v="10.47"/>
    <n v="758.79"/>
    <n v="0.05"/>
    <n v="0.03"/>
    <n v="725"/>
    <n v="25"/>
  </r>
  <r>
    <x v="13"/>
    <x v="25"/>
    <x v="3"/>
    <n v="6.99"/>
    <n v="1626.56"/>
    <n v="0.03"/>
    <n v="0.06"/>
    <n v="2327"/>
    <n v="26"/>
  </r>
  <r>
    <x v="13"/>
    <x v="34"/>
    <x v="3"/>
    <n v="6.92"/>
    <n v="1983.26"/>
    <n v="0.03"/>
    <n v="7.0000000000000007E-2"/>
    <n v="2866"/>
    <n v="27"/>
  </r>
  <r>
    <x v="13"/>
    <x v="26"/>
    <x v="3"/>
    <n v="6.06"/>
    <n v="991.43"/>
    <n v="0.03"/>
    <n v="0.04"/>
    <n v="1636"/>
    <n v="28"/>
  </r>
  <r>
    <x v="13"/>
    <x v="29"/>
    <x v="3"/>
    <n v="5.68"/>
    <n v="417.41"/>
    <n v="0.03"/>
    <n v="0.02"/>
    <n v="735"/>
    <n v="29"/>
  </r>
  <r>
    <x v="13"/>
    <x v="27"/>
    <x v="3"/>
    <n v="5.21"/>
    <n v="1035.32"/>
    <n v="0.03"/>
    <n v="0.04"/>
    <n v="1987"/>
    <n v="30"/>
  </r>
  <r>
    <x v="13"/>
    <x v="28"/>
    <x v="3"/>
    <n v="4.37"/>
    <n v="1133.76"/>
    <n v="0.02"/>
    <n v="0.04"/>
    <n v="2594"/>
    <n v="31"/>
  </r>
  <r>
    <x v="13"/>
    <x v="30"/>
    <x v="3"/>
    <n v="4.1500000000000004"/>
    <n v="1110.1500000000001"/>
    <n v="0.02"/>
    <n v="0.04"/>
    <n v="2675"/>
    <n v="32"/>
  </r>
  <r>
    <x v="13"/>
    <x v="61"/>
    <x v="3"/>
    <n v="3.47"/>
    <n v="368.39"/>
    <n v="0.02"/>
    <n v="0.01"/>
    <n v="1062"/>
    <n v="33"/>
  </r>
  <r>
    <x v="13"/>
    <x v="18"/>
    <x v="3"/>
    <n v="3.31"/>
    <n v="208.86"/>
    <n v="0.02"/>
    <n v="0.01"/>
    <n v="631"/>
    <n v="34"/>
  </r>
  <r>
    <x v="13"/>
    <x v="82"/>
    <x v="3"/>
    <n v="2.98"/>
    <n v="1121.6099999999999"/>
    <n v="0.01"/>
    <n v="0.04"/>
    <n v="3764"/>
    <n v="35"/>
  </r>
  <r>
    <x v="13"/>
    <x v="49"/>
    <x v="3"/>
    <n v="2.92"/>
    <n v="403.52"/>
    <n v="0.01"/>
    <n v="0.01"/>
    <n v="1382"/>
    <n v="36"/>
  </r>
  <r>
    <x v="13"/>
    <x v="36"/>
    <x v="3"/>
    <n v="2.77"/>
    <n v="723.28"/>
    <n v="0.01"/>
    <n v="0.03"/>
    <n v="2611"/>
    <n v="37"/>
  </r>
  <r>
    <x v="13"/>
    <x v="75"/>
    <x v="3"/>
    <n v="2.7"/>
    <n v="405.88"/>
    <n v="0.01"/>
    <n v="0.01"/>
    <n v="1503"/>
    <n v="38"/>
  </r>
  <r>
    <x v="13"/>
    <x v="38"/>
    <x v="3"/>
    <n v="2.66"/>
    <n v="419.17"/>
    <n v="0.01"/>
    <n v="0.02"/>
    <n v="1576"/>
    <n v="39"/>
  </r>
  <r>
    <x v="13"/>
    <x v="50"/>
    <x v="3"/>
    <n v="2.2999999999999998"/>
    <n v="14.34"/>
    <n v="0.01"/>
    <n v="0"/>
    <n v="62"/>
    <n v="40"/>
  </r>
  <r>
    <x v="13"/>
    <x v="33"/>
    <x v="3"/>
    <n v="1.94"/>
    <n v="38.42"/>
    <n v="0.01"/>
    <n v="0"/>
    <n v="198"/>
    <n v="41"/>
  </r>
  <r>
    <x v="13"/>
    <x v="35"/>
    <x v="3"/>
    <n v="1.92"/>
    <n v="128.78"/>
    <n v="0.01"/>
    <n v="0"/>
    <n v="671"/>
    <n v="42"/>
  </r>
  <r>
    <x v="13"/>
    <x v="65"/>
    <x v="3"/>
    <n v="1.77"/>
    <n v="137.63"/>
    <n v="0.01"/>
    <n v="0.01"/>
    <n v="778"/>
    <n v="43"/>
  </r>
  <r>
    <x v="13"/>
    <x v="47"/>
    <x v="3"/>
    <n v="1.58"/>
    <n v="224.25"/>
    <n v="0.01"/>
    <n v="0.01"/>
    <n v="1419"/>
    <n v="44"/>
  </r>
  <r>
    <x v="13"/>
    <x v="43"/>
    <x v="3"/>
    <n v="1.5"/>
    <n v="170.25"/>
    <n v="0.01"/>
    <n v="0.01"/>
    <n v="1135"/>
    <n v="45"/>
  </r>
  <r>
    <x v="13"/>
    <x v="31"/>
    <x v="3"/>
    <n v="1.49"/>
    <n v="448.46"/>
    <n v="0.01"/>
    <n v="0.02"/>
    <n v="3010"/>
    <n v="46"/>
  </r>
  <r>
    <x v="13"/>
    <x v="48"/>
    <x v="3"/>
    <n v="1.43"/>
    <n v="121.39"/>
    <n v="0.01"/>
    <n v="0"/>
    <n v="849"/>
    <n v="47"/>
  </r>
  <r>
    <x v="13"/>
    <x v="79"/>
    <x v="3"/>
    <n v="1.38"/>
    <n v="105.13"/>
    <n v="0.01"/>
    <n v="0"/>
    <n v="762"/>
    <n v="48"/>
  </r>
  <r>
    <x v="13"/>
    <x v="46"/>
    <x v="3"/>
    <n v="1.1399999999999999"/>
    <n v="409.7"/>
    <n v="0.01"/>
    <n v="0.02"/>
    <n v="3594"/>
    <n v="49"/>
  </r>
  <r>
    <x v="13"/>
    <x v="76"/>
    <x v="3"/>
    <n v="0.97"/>
    <n v="98.21"/>
    <n v="0"/>
    <n v="0"/>
    <n v="1012"/>
    <n v="50"/>
  </r>
  <r>
    <x v="13"/>
    <x v="44"/>
    <x v="3"/>
    <n v="0.91"/>
    <n v="82.72"/>
    <n v="0"/>
    <n v="0"/>
    <n v="909"/>
    <n v="51"/>
  </r>
  <r>
    <x v="13"/>
    <x v="41"/>
    <x v="3"/>
    <n v="0.87"/>
    <n v="259.64999999999998"/>
    <n v="0"/>
    <n v="0.01"/>
    <n v="2984"/>
    <n v="52"/>
  </r>
  <r>
    <x v="13"/>
    <x v="67"/>
    <x v="3"/>
    <n v="0.73"/>
    <n v="904.13"/>
    <n v="0"/>
    <n v="0.03"/>
    <n v="12385"/>
    <n v="53"/>
  </r>
  <r>
    <x v="13"/>
    <x v="40"/>
    <x v="3"/>
    <n v="0.73"/>
    <n v="225.05"/>
    <n v="0"/>
    <n v="0.01"/>
    <n v="3083"/>
    <n v="53"/>
  </r>
  <r>
    <x v="13"/>
    <x v="45"/>
    <x v="3"/>
    <n v="0.71"/>
    <n v="246.67"/>
    <n v="0"/>
    <n v="0.01"/>
    <n v="3474"/>
    <n v="55"/>
  </r>
  <r>
    <x v="13"/>
    <x v="81"/>
    <x v="3"/>
    <n v="0.63"/>
    <n v="56.41"/>
    <n v="0"/>
    <n v="0"/>
    <n v="895"/>
    <n v="56"/>
  </r>
  <r>
    <x v="13"/>
    <x v="42"/>
    <x v="3"/>
    <n v="0.61"/>
    <n v="217.83"/>
    <n v="0"/>
    <n v="0.01"/>
    <n v="3571"/>
    <n v="57"/>
  </r>
  <r>
    <x v="13"/>
    <x v="51"/>
    <x v="3"/>
    <n v="0.59"/>
    <n v="161.03"/>
    <n v="0"/>
    <n v="0.01"/>
    <n v="2729"/>
    <n v="58"/>
  </r>
  <r>
    <x v="13"/>
    <x v="52"/>
    <x v="3"/>
    <n v="0.5"/>
    <n v="167.09"/>
    <n v="0"/>
    <n v="0.01"/>
    <n v="3342"/>
    <n v="59"/>
  </r>
  <r>
    <x v="13"/>
    <x v="89"/>
    <x v="3"/>
    <n v="0.5"/>
    <n v="13.9"/>
    <n v="0"/>
    <n v="0"/>
    <n v="278"/>
    <n v="59"/>
  </r>
  <r>
    <x v="13"/>
    <x v="69"/>
    <x v="3"/>
    <n v="0.48"/>
    <n v="24.33"/>
    <n v="0"/>
    <n v="0"/>
    <n v="507"/>
    <n v="61"/>
  </r>
  <r>
    <x v="13"/>
    <x v="88"/>
    <x v="3"/>
    <n v="0.46"/>
    <n v="10.67"/>
    <n v="0"/>
    <n v="0"/>
    <n v="232"/>
    <n v="62"/>
  </r>
  <r>
    <x v="13"/>
    <x v="39"/>
    <x v="3"/>
    <n v="0.42"/>
    <n v="21.45"/>
    <n v="0"/>
    <n v="0"/>
    <n v="511"/>
    <n v="63"/>
  </r>
  <r>
    <x v="13"/>
    <x v="37"/>
    <x v="3"/>
    <n v="0.4"/>
    <n v="115.39"/>
    <n v="0"/>
    <n v="0"/>
    <n v="2885"/>
    <n v="64"/>
  </r>
  <r>
    <x v="13"/>
    <x v="56"/>
    <x v="3"/>
    <n v="0.33"/>
    <n v="107.21"/>
    <n v="0"/>
    <n v="0"/>
    <n v="3249"/>
    <n v="65"/>
  </r>
  <r>
    <x v="13"/>
    <x v="80"/>
    <x v="3"/>
    <n v="0.33"/>
    <n v="31.47"/>
    <n v="0"/>
    <n v="0"/>
    <n v="954"/>
    <n v="65"/>
  </r>
  <r>
    <x v="13"/>
    <x v="54"/>
    <x v="3"/>
    <n v="0.28999999999999998"/>
    <n v="120.33"/>
    <n v="0"/>
    <n v="0"/>
    <n v="4149"/>
    <n v="67"/>
  </r>
  <r>
    <x v="13"/>
    <x v="64"/>
    <x v="3"/>
    <n v="0.26"/>
    <n v="27.54"/>
    <n v="0"/>
    <n v="0"/>
    <n v="1059"/>
    <n v="68"/>
  </r>
  <r>
    <x v="13"/>
    <x v="55"/>
    <x v="3"/>
    <n v="0.26"/>
    <n v="62.55"/>
    <n v="0"/>
    <n v="0"/>
    <n v="2406"/>
    <n v="68"/>
  </r>
  <r>
    <x v="13"/>
    <x v="57"/>
    <x v="3"/>
    <n v="0.24"/>
    <n v="10.84"/>
    <n v="0"/>
    <n v="0"/>
    <n v="452"/>
    <n v="70"/>
  </r>
  <r>
    <x v="13"/>
    <x v="53"/>
    <x v="3"/>
    <n v="0.21"/>
    <n v="59.47"/>
    <n v="0"/>
    <n v="0"/>
    <n v="2832"/>
    <n v="71"/>
  </r>
  <r>
    <x v="13"/>
    <x v="60"/>
    <x v="3"/>
    <n v="0.17"/>
    <n v="75.41"/>
    <n v="0"/>
    <n v="0"/>
    <n v="4436"/>
    <n v="72"/>
  </r>
  <r>
    <x v="13"/>
    <x v="66"/>
    <x v="3"/>
    <n v="0.15"/>
    <n v="5.04"/>
    <n v="0"/>
    <n v="0"/>
    <n v="336"/>
    <n v="73"/>
  </r>
  <r>
    <x v="13"/>
    <x v="84"/>
    <x v="3"/>
    <n v="0.14000000000000001"/>
    <n v="21.43"/>
    <n v="0"/>
    <n v="0"/>
    <n v="1531"/>
    <n v="74"/>
  </r>
  <r>
    <x v="13"/>
    <x v="68"/>
    <x v="3"/>
    <n v="0.12"/>
    <n v="44.87"/>
    <n v="0"/>
    <n v="0"/>
    <n v="3739"/>
    <n v="75"/>
  </r>
  <r>
    <x v="13"/>
    <x v="90"/>
    <x v="3"/>
    <n v="0.1"/>
    <n v="10.9"/>
    <n v="0"/>
    <n v="0"/>
    <n v="1090"/>
    <n v="76"/>
  </r>
  <r>
    <x v="13"/>
    <x v="63"/>
    <x v="3"/>
    <n v="0.1"/>
    <n v="35.99"/>
    <n v="0"/>
    <n v="0"/>
    <n v="3599"/>
    <n v="76"/>
  </r>
  <r>
    <x v="13"/>
    <x v="58"/>
    <x v="3"/>
    <n v="0.09"/>
    <n v="6.99"/>
    <n v="0"/>
    <n v="0"/>
    <n v="777"/>
    <n v="78"/>
  </r>
  <r>
    <x v="13"/>
    <x v="85"/>
    <x v="3"/>
    <n v="0.08"/>
    <n v="25.74"/>
    <n v="0"/>
    <n v="0"/>
    <n v="3218"/>
    <n v="79"/>
  </r>
  <r>
    <x v="13"/>
    <x v="62"/>
    <x v="3"/>
    <n v="0.08"/>
    <n v="32.76"/>
    <n v="0"/>
    <n v="0"/>
    <n v="4095"/>
    <n v="79"/>
  </r>
  <r>
    <x v="13"/>
    <x v="86"/>
    <x v="3"/>
    <n v="7.0000000000000007E-2"/>
    <n v="5.97"/>
    <n v="0"/>
    <n v="0"/>
    <n v="853"/>
    <n v="81"/>
  </r>
  <r>
    <x v="13"/>
    <x v="71"/>
    <x v="3"/>
    <n v="0.04"/>
    <n v="14.19"/>
    <n v="0"/>
    <n v="0"/>
    <n v="3548"/>
    <n v="82"/>
  </r>
  <r>
    <x v="13"/>
    <x v="70"/>
    <x v="3"/>
    <n v="0.03"/>
    <n v="2.1"/>
    <n v="0"/>
    <n v="0"/>
    <n v="700"/>
    <n v="83"/>
  </r>
  <r>
    <x v="13"/>
    <x v="83"/>
    <x v="3"/>
    <n v="0.03"/>
    <n v="9.4600000000000009"/>
    <n v="0"/>
    <n v="0"/>
    <n v="3153"/>
    <n v="83"/>
  </r>
  <r>
    <x v="13"/>
    <x v="72"/>
    <x v="3"/>
    <n v="0.02"/>
    <n v="7.76"/>
    <n v="0"/>
    <n v="0"/>
    <n v="3880"/>
    <n v="85"/>
  </r>
  <r>
    <x v="13"/>
    <x v="87"/>
    <x v="3"/>
    <n v="0.02"/>
    <n v="5.64"/>
    <n v="0"/>
    <n v="0"/>
    <n v="2820"/>
    <n v="85"/>
  </r>
  <r>
    <x v="14"/>
    <x v="0"/>
    <x v="0"/>
    <n v="9322.2900000000009"/>
    <n v="1274723.47"/>
    <n v="45.55"/>
    <n v="48.44"/>
    <n v="1367"/>
    <n v="1"/>
  </r>
  <r>
    <x v="14"/>
    <x v="1"/>
    <x v="1"/>
    <n v="7020.94"/>
    <n v="905445.37"/>
    <n v="34.299999999999997"/>
    <n v="34.409999999999997"/>
    <n v="1290"/>
    <n v="2"/>
  </r>
  <r>
    <x v="14"/>
    <x v="2"/>
    <x v="2"/>
    <n v="1518.95"/>
    <n v="163210.19"/>
    <n v="7.42"/>
    <n v="6.2"/>
    <n v="1074"/>
    <n v="3"/>
  </r>
  <r>
    <x v="14"/>
    <x v="4"/>
    <x v="3"/>
    <n v="606.61"/>
    <n v="32180.799999999999"/>
    <n v="2.96"/>
    <n v="1.22"/>
    <n v="531"/>
    <n v="4"/>
  </r>
  <r>
    <x v="14"/>
    <x v="14"/>
    <x v="3"/>
    <n v="265.07"/>
    <n v="10569.55"/>
    <n v="1.3"/>
    <n v="0.4"/>
    <n v="399"/>
    <n v="5"/>
  </r>
  <r>
    <x v="14"/>
    <x v="3"/>
    <x v="3"/>
    <n v="153.54"/>
    <n v="59261.16"/>
    <n v="0.75"/>
    <n v="2.25"/>
    <n v="3860"/>
    <n v="6"/>
  </r>
  <r>
    <x v="14"/>
    <x v="7"/>
    <x v="3"/>
    <n v="149.79"/>
    <n v="1867.72"/>
    <n v="0.73"/>
    <n v="7.0000000000000007E-2"/>
    <n v="125"/>
    <n v="7"/>
  </r>
  <r>
    <x v="14"/>
    <x v="13"/>
    <x v="3"/>
    <n v="139.11000000000001"/>
    <n v="18280.830000000002"/>
    <n v="0.68"/>
    <n v="0.69"/>
    <n v="1314"/>
    <n v="8"/>
  </r>
  <r>
    <x v="14"/>
    <x v="5"/>
    <x v="3"/>
    <n v="133.63"/>
    <n v="15515.97"/>
    <n v="0.65"/>
    <n v="0.59"/>
    <n v="1161"/>
    <n v="9"/>
  </r>
  <r>
    <x v="14"/>
    <x v="9"/>
    <x v="3"/>
    <n v="87.06"/>
    <n v="7168.01"/>
    <n v="0.43"/>
    <n v="0.27"/>
    <n v="823"/>
    <n v="10"/>
  </r>
  <r>
    <x v="14"/>
    <x v="6"/>
    <x v="3"/>
    <n v="86.58"/>
    <n v="9909.89"/>
    <n v="0.42"/>
    <n v="0.38"/>
    <n v="1145"/>
    <n v="11"/>
  </r>
  <r>
    <x v="14"/>
    <x v="10"/>
    <x v="3"/>
    <n v="86.37"/>
    <n v="10393.450000000001"/>
    <n v="0.42"/>
    <n v="0.39"/>
    <n v="1203"/>
    <n v="12"/>
  </r>
  <r>
    <x v="14"/>
    <x v="11"/>
    <x v="3"/>
    <n v="73.569999999999993"/>
    <n v="16795.79"/>
    <n v="0.36"/>
    <n v="0.64"/>
    <n v="2283"/>
    <n v="13"/>
  </r>
  <r>
    <x v="14"/>
    <x v="8"/>
    <x v="3"/>
    <n v="65.739999999999995"/>
    <n v="17156.919999999998"/>
    <n v="0.32"/>
    <n v="0.65"/>
    <n v="2610"/>
    <n v="14"/>
  </r>
  <r>
    <x v="14"/>
    <x v="16"/>
    <x v="3"/>
    <n v="56.52"/>
    <n v="6916.48"/>
    <n v="0.28000000000000003"/>
    <n v="0.26"/>
    <n v="1224"/>
    <n v="15"/>
  </r>
  <r>
    <x v="14"/>
    <x v="12"/>
    <x v="3"/>
    <n v="47.37"/>
    <n v="6384.17"/>
    <n v="0.23"/>
    <n v="0.24"/>
    <n v="1348"/>
    <n v="16"/>
  </r>
  <r>
    <x v="14"/>
    <x v="20"/>
    <x v="3"/>
    <n v="29.32"/>
    <n v="3172.92"/>
    <n v="0.14000000000000001"/>
    <n v="0.12"/>
    <n v="1082"/>
    <n v="17"/>
  </r>
  <r>
    <x v="14"/>
    <x v="24"/>
    <x v="3"/>
    <n v="19.170000000000002"/>
    <n v="1912.89"/>
    <n v="0.09"/>
    <n v="7.0000000000000007E-2"/>
    <n v="998"/>
    <n v="18"/>
  </r>
  <r>
    <x v="14"/>
    <x v="15"/>
    <x v="3"/>
    <n v="15.73"/>
    <n v="1263.8599999999999"/>
    <n v="0.08"/>
    <n v="0.05"/>
    <n v="803"/>
    <n v="19"/>
  </r>
  <r>
    <x v="14"/>
    <x v="22"/>
    <x v="3"/>
    <n v="15.38"/>
    <n v="2955.39"/>
    <n v="0.08"/>
    <n v="0.11"/>
    <n v="1922"/>
    <n v="20"/>
  </r>
  <r>
    <x v="14"/>
    <x v="32"/>
    <x v="3"/>
    <n v="14.58"/>
    <n v="834.96"/>
    <n v="7.0000000000000007E-2"/>
    <n v="0.03"/>
    <n v="573"/>
    <n v="21"/>
  </r>
  <r>
    <x v="14"/>
    <x v="17"/>
    <x v="3"/>
    <n v="14.28"/>
    <n v="9763.15"/>
    <n v="7.0000000000000007E-2"/>
    <n v="0.37"/>
    <n v="6837"/>
    <n v="22"/>
  </r>
  <r>
    <x v="14"/>
    <x v="21"/>
    <x v="3"/>
    <n v="13.17"/>
    <n v="3838.92"/>
    <n v="0.06"/>
    <n v="0.15"/>
    <n v="2915"/>
    <n v="23"/>
  </r>
  <r>
    <x v="14"/>
    <x v="19"/>
    <x v="3"/>
    <n v="12.87"/>
    <n v="2750.64"/>
    <n v="0.06"/>
    <n v="0.1"/>
    <n v="2137"/>
    <n v="24"/>
  </r>
  <r>
    <x v="14"/>
    <x v="23"/>
    <x v="3"/>
    <n v="11.21"/>
    <n v="716.66"/>
    <n v="0.05"/>
    <n v="0.03"/>
    <n v="639"/>
    <n v="25"/>
  </r>
  <r>
    <x v="14"/>
    <x v="34"/>
    <x v="3"/>
    <n v="6.9"/>
    <n v="2228.5"/>
    <n v="0.03"/>
    <n v="0.08"/>
    <n v="3230"/>
    <n v="26"/>
  </r>
  <r>
    <x v="14"/>
    <x v="25"/>
    <x v="3"/>
    <n v="6.38"/>
    <n v="1581.57"/>
    <n v="0.03"/>
    <n v="0.06"/>
    <n v="2479"/>
    <n v="27"/>
  </r>
  <r>
    <x v="14"/>
    <x v="26"/>
    <x v="3"/>
    <n v="6.04"/>
    <n v="935.1"/>
    <n v="0.03"/>
    <n v="0.04"/>
    <n v="1548"/>
    <n v="28"/>
  </r>
  <r>
    <x v="14"/>
    <x v="29"/>
    <x v="3"/>
    <n v="5.92"/>
    <n v="418.34"/>
    <n v="0.03"/>
    <n v="0.02"/>
    <n v="707"/>
    <n v="29"/>
  </r>
  <r>
    <x v="14"/>
    <x v="27"/>
    <x v="3"/>
    <n v="4.3899999999999997"/>
    <n v="760.75"/>
    <n v="0.02"/>
    <n v="0.03"/>
    <n v="1733"/>
    <n v="30"/>
  </r>
  <r>
    <x v="14"/>
    <x v="28"/>
    <x v="3"/>
    <n v="4.3499999999999996"/>
    <n v="1074.18"/>
    <n v="0.02"/>
    <n v="0.04"/>
    <n v="2469"/>
    <n v="31"/>
  </r>
  <r>
    <x v="14"/>
    <x v="30"/>
    <x v="3"/>
    <n v="4.03"/>
    <n v="1040.95"/>
    <n v="0.02"/>
    <n v="0.04"/>
    <n v="2583"/>
    <n v="32"/>
  </r>
  <r>
    <x v="14"/>
    <x v="61"/>
    <x v="3"/>
    <n v="3.48"/>
    <n v="319.56"/>
    <n v="0.02"/>
    <n v="0.01"/>
    <n v="918"/>
    <n v="33"/>
  </r>
  <r>
    <x v="14"/>
    <x v="49"/>
    <x v="3"/>
    <n v="3.08"/>
    <n v="404.62"/>
    <n v="0.02"/>
    <n v="0.02"/>
    <n v="1314"/>
    <n v="34"/>
  </r>
  <r>
    <x v="14"/>
    <x v="82"/>
    <x v="3"/>
    <n v="3.02"/>
    <n v="994.89"/>
    <n v="0.01"/>
    <n v="0.04"/>
    <n v="3294"/>
    <n v="35"/>
  </r>
  <r>
    <x v="14"/>
    <x v="36"/>
    <x v="3"/>
    <n v="2.74"/>
    <n v="653.52"/>
    <n v="0.01"/>
    <n v="0.02"/>
    <n v="2385"/>
    <n v="36"/>
  </r>
  <r>
    <x v="14"/>
    <x v="18"/>
    <x v="3"/>
    <n v="2.66"/>
    <n v="146.29"/>
    <n v="0.01"/>
    <n v="0.01"/>
    <n v="550"/>
    <n v="37"/>
  </r>
  <r>
    <x v="14"/>
    <x v="75"/>
    <x v="3"/>
    <n v="2.58"/>
    <n v="375.77"/>
    <n v="0.01"/>
    <n v="0.01"/>
    <n v="1456"/>
    <n v="38"/>
  </r>
  <r>
    <x v="14"/>
    <x v="38"/>
    <x v="3"/>
    <n v="2.42"/>
    <n v="378.25"/>
    <n v="0.01"/>
    <n v="0.01"/>
    <n v="1563"/>
    <n v="39"/>
  </r>
  <r>
    <x v="14"/>
    <x v="65"/>
    <x v="3"/>
    <n v="2.2799999999999998"/>
    <n v="177.52"/>
    <n v="0.01"/>
    <n v="0.01"/>
    <n v="779"/>
    <n v="40"/>
  </r>
  <r>
    <x v="14"/>
    <x v="33"/>
    <x v="3"/>
    <n v="2"/>
    <n v="39.979999999999997"/>
    <n v="0.01"/>
    <n v="0"/>
    <n v="200"/>
    <n v="41"/>
  </r>
  <r>
    <x v="14"/>
    <x v="35"/>
    <x v="3"/>
    <n v="1.9"/>
    <n v="129.21"/>
    <n v="0.01"/>
    <n v="0"/>
    <n v="680"/>
    <n v="42"/>
  </r>
  <r>
    <x v="14"/>
    <x v="50"/>
    <x v="3"/>
    <n v="1.89"/>
    <n v="3.55"/>
    <n v="0.01"/>
    <n v="0"/>
    <n v="19"/>
    <n v="43"/>
  </r>
  <r>
    <x v="14"/>
    <x v="31"/>
    <x v="3"/>
    <n v="1.52"/>
    <n v="422.65"/>
    <n v="0.01"/>
    <n v="0.02"/>
    <n v="2781"/>
    <n v="44"/>
  </r>
  <r>
    <x v="14"/>
    <x v="79"/>
    <x v="3"/>
    <n v="1.41"/>
    <n v="98.11"/>
    <n v="0.01"/>
    <n v="0"/>
    <n v="696"/>
    <n v="45"/>
  </r>
  <r>
    <x v="14"/>
    <x v="47"/>
    <x v="3"/>
    <n v="1.39"/>
    <n v="212.28"/>
    <n v="0.01"/>
    <n v="0.01"/>
    <n v="1527"/>
    <n v="46"/>
  </r>
  <r>
    <x v="14"/>
    <x v="48"/>
    <x v="3"/>
    <n v="1.39"/>
    <n v="108.4"/>
    <n v="0.01"/>
    <n v="0"/>
    <n v="780"/>
    <n v="46"/>
  </r>
  <r>
    <x v="14"/>
    <x v="43"/>
    <x v="3"/>
    <n v="1.26"/>
    <n v="158.12"/>
    <n v="0.01"/>
    <n v="0.01"/>
    <n v="1255"/>
    <n v="48"/>
  </r>
  <r>
    <x v="14"/>
    <x v="76"/>
    <x v="3"/>
    <n v="1.19"/>
    <n v="127.39"/>
    <n v="0.01"/>
    <n v="0"/>
    <n v="1071"/>
    <n v="49"/>
  </r>
  <r>
    <x v="14"/>
    <x v="46"/>
    <x v="3"/>
    <n v="1.1599999999999999"/>
    <n v="412.73"/>
    <n v="0.01"/>
    <n v="0.02"/>
    <n v="3558"/>
    <n v="50"/>
  </r>
  <r>
    <x v="14"/>
    <x v="39"/>
    <x v="3"/>
    <n v="1.1100000000000001"/>
    <n v="24.14"/>
    <n v="0.01"/>
    <n v="0"/>
    <n v="217"/>
    <n v="51"/>
  </r>
  <r>
    <x v="14"/>
    <x v="89"/>
    <x v="3"/>
    <n v="1.06"/>
    <n v="37.32"/>
    <n v="0.01"/>
    <n v="0"/>
    <n v="352"/>
    <n v="52"/>
  </r>
  <r>
    <x v="14"/>
    <x v="44"/>
    <x v="3"/>
    <n v="0.96"/>
    <n v="83.45"/>
    <n v="0"/>
    <n v="0"/>
    <n v="869"/>
    <n v="53"/>
  </r>
  <r>
    <x v="14"/>
    <x v="40"/>
    <x v="3"/>
    <n v="0.88"/>
    <n v="250.09"/>
    <n v="0"/>
    <n v="0.01"/>
    <n v="2842"/>
    <n v="54"/>
  </r>
  <r>
    <x v="14"/>
    <x v="41"/>
    <x v="3"/>
    <n v="0.84"/>
    <n v="243.72"/>
    <n v="0"/>
    <n v="0.01"/>
    <n v="2901"/>
    <n v="55"/>
  </r>
  <r>
    <x v="14"/>
    <x v="45"/>
    <x v="3"/>
    <n v="0.73"/>
    <n v="241.68"/>
    <n v="0"/>
    <n v="0.01"/>
    <n v="3311"/>
    <n v="56"/>
  </r>
  <r>
    <x v="14"/>
    <x v="67"/>
    <x v="3"/>
    <n v="0.63"/>
    <n v="793.04"/>
    <n v="0"/>
    <n v="0.03"/>
    <n v="12588"/>
    <n v="57"/>
  </r>
  <r>
    <x v="14"/>
    <x v="81"/>
    <x v="3"/>
    <n v="0.6"/>
    <n v="53.81"/>
    <n v="0"/>
    <n v="0"/>
    <n v="897"/>
    <n v="58"/>
  </r>
  <r>
    <x v="14"/>
    <x v="42"/>
    <x v="3"/>
    <n v="0.57999999999999996"/>
    <n v="203.03"/>
    <n v="0"/>
    <n v="0.01"/>
    <n v="3501"/>
    <n v="59"/>
  </r>
  <r>
    <x v="14"/>
    <x v="51"/>
    <x v="3"/>
    <n v="0.57999999999999996"/>
    <n v="154.26"/>
    <n v="0"/>
    <n v="0.01"/>
    <n v="2660"/>
    <n v="59"/>
  </r>
  <r>
    <x v="14"/>
    <x v="69"/>
    <x v="3"/>
    <n v="0.48"/>
    <n v="23.87"/>
    <n v="0"/>
    <n v="0"/>
    <n v="497"/>
    <n v="61"/>
  </r>
  <r>
    <x v="14"/>
    <x v="37"/>
    <x v="3"/>
    <n v="0.42"/>
    <n v="126.34"/>
    <n v="0"/>
    <n v="0"/>
    <n v="3008"/>
    <n v="62"/>
  </r>
  <r>
    <x v="14"/>
    <x v="52"/>
    <x v="3"/>
    <n v="0.42"/>
    <n v="148.43"/>
    <n v="0"/>
    <n v="0.01"/>
    <n v="3534"/>
    <n v="62"/>
  </r>
  <r>
    <x v="14"/>
    <x v="54"/>
    <x v="3"/>
    <n v="0.36"/>
    <n v="116.53"/>
    <n v="0"/>
    <n v="0"/>
    <n v="3237"/>
    <n v="64"/>
  </r>
  <r>
    <x v="14"/>
    <x v="56"/>
    <x v="3"/>
    <n v="0.34"/>
    <n v="108.52"/>
    <n v="0"/>
    <n v="0"/>
    <n v="3192"/>
    <n v="65"/>
  </r>
  <r>
    <x v="14"/>
    <x v="88"/>
    <x v="3"/>
    <n v="0.33"/>
    <n v="8.42"/>
    <n v="0"/>
    <n v="0"/>
    <n v="255"/>
    <n v="66"/>
  </r>
  <r>
    <x v="14"/>
    <x v="80"/>
    <x v="3"/>
    <n v="0.32"/>
    <n v="30.58"/>
    <n v="0"/>
    <n v="0"/>
    <n v="956"/>
    <n v="67"/>
  </r>
  <r>
    <x v="14"/>
    <x v="64"/>
    <x v="3"/>
    <n v="0.3"/>
    <n v="29.39"/>
    <n v="0"/>
    <n v="0"/>
    <n v="980"/>
    <n v="68"/>
  </r>
  <r>
    <x v="14"/>
    <x v="55"/>
    <x v="3"/>
    <n v="0.27"/>
    <n v="63.02"/>
    <n v="0"/>
    <n v="0"/>
    <n v="2334"/>
    <n v="69"/>
  </r>
  <r>
    <x v="14"/>
    <x v="57"/>
    <x v="3"/>
    <n v="0.21"/>
    <n v="9.42"/>
    <n v="0"/>
    <n v="0"/>
    <n v="449"/>
    <n v="70"/>
  </r>
  <r>
    <x v="14"/>
    <x v="53"/>
    <x v="3"/>
    <n v="0.2"/>
    <n v="53.88"/>
    <n v="0"/>
    <n v="0"/>
    <n v="2694"/>
    <n v="71"/>
  </r>
  <r>
    <x v="14"/>
    <x v="66"/>
    <x v="3"/>
    <n v="0.18"/>
    <n v="6.09"/>
    <n v="0"/>
    <n v="0"/>
    <n v="338"/>
    <n v="72"/>
  </r>
  <r>
    <x v="14"/>
    <x v="91"/>
    <x v="3"/>
    <n v="0.16"/>
    <n v="10.58"/>
    <n v="0"/>
    <n v="0"/>
    <n v="661"/>
    <n v="73"/>
  </r>
  <r>
    <x v="14"/>
    <x v="60"/>
    <x v="3"/>
    <n v="0.16"/>
    <n v="71.989999999999995"/>
    <n v="0"/>
    <n v="0"/>
    <n v="4499"/>
    <n v="73"/>
  </r>
  <r>
    <x v="14"/>
    <x v="84"/>
    <x v="3"/>
    <n v="0.15"/>
    <n v="23.14"/>
    <n v="0"/>
    <n v="0"/>
    <n v="1543"/>
    <n v="75"/>
  </r>
  <r>
    <x v="14"/>
    <x v="68"/>
    <x v="3"/>
    <n v="0.12"/>
    <n v="43.7"/>
    <n v="0"/>
    <n v="0"/>
    <n v="3642"/>
    <n v="76"/>
  </r>
  <r>
    <x v="14"/>
    <x v="90"/>
    <x v="3"/>
    <n v="0.11"/>
    <n v="12.18"/>
    <n v="0"/>
    <n v="0"/>
    <n v="1107"/>
    <n v="77"/>
  </r>
  <r>
    <x v="14"/>
    <x v="63"/>
    <x v="3"/>
    <n v="0.1"/>
    <n v="34.64"/>
    <n v="0"/>
    <n v="0"/>
    <n v="3464"/>
    <n v="78"/>
  </r>
  <r>
    <x v="14"/>
    <x v="86"/>
    <x v="3"/>
    <n v="0.08"/>
    <n v="7.81"/>
    <n v="0"/>
    <n v="0"/>
    <n v="976"/>
    <n v="79"/>
  </r>
  <r>
    <x v="14"/>
    <x v="58"/>
    <x v="3"/>
    <n v="0.08"/>
    <n v="6.31"/>
    <n v="0"/>
    <n v="0"/>
    <n v="789"/>
    <n v="79"/>
  </r>
  <r>
    <x v="14"/>
    <x v="85"/>
    <x v="3"/>
    <n v="0.08"/>
    <n v="24.79"/>
    <n v="0"/>
    <n v="0"/>
    <n v="3099"/>
    <n v="79"/>
  </r>
  <r>
    <x v="14"/>
    <x v="62"/>
    <x v="3"/>
    <n v="7.0000000000000007E-2"/>
    <n v="29.85"/>
    <n v="0"/>
    <n v="0"/>
    <n v="4264"/>
    <n v="82"/>
  </r>
  <r>
    <x v="14"/>
    <x v="83"/>
    <x v="3"/>
    <n v="0.04"/>
    <n v="10.94"/>
    <n v="0"/>
    <n v="0"/>
    <n v="2735"/>
    <n v="83"/>
  </r>
  <r>
    <x v="14"/>
    <x v="92"/>
    <x v="3"/>
    <n v="0.04"/>
    <n v="3.25"/>
    <n v="0"/>
    <n v="0"/>
    <n v="813"/>
    <n v="83"/>
  </r>
  <r>
    <x v="14"/>
    <x v="71"/>
    <x v="3"/>
    <n v="0.03"/>
    <n v="11.81"/>
    <n v="0"/>
    <n v="0"/>
    <n v="3937"/>
    <n v="85"/>
  </r>
  <r>
    <x v="14"/>
    <x v="72"/>
    <x v="3"/>
    <n v="0.03"/>
    <n v="10.199999999999999"/>
    <n v="0"/>
    <n v="0"/>
    <n v="3400"/>
    <n v="85"/>
  </r>
  <r>
    <x v="14"/>
    <x v="70"/>
    <x v="3"/>
    <n v="0.03"/>
    <n v="1.84"/>
    <n v="0"/>
    <n v="0"/>
    <n v="613"/>
    <n v="85"/>
  </r>
  <r>
    <x v="14"/>
    <x v="77"/>
    <x v="3"/>
    <n v="0.02"/>
    <n v="2.44"/>
    <n v="0"/>
    <n v="0"/>
    <n v="1220"/>
    <n v="88"/>
  </r>
  <r>
    <x v="14"/>
    <x v="93"/>
    <x v="3"/>
    <n v="0.02"/>
    <n v="1.65"/>
    <n v="0"/>
    <n v="0"/>
    <n v="825"/>
    <n v="88"/>
  </r>
  <r>
    <x v="15"/>
    <x v="0"/>
    <x v="0"/>
    <n v="9799.14"/>
    <n v="1360501.94"/>
    <n v="45.29"/>
    <n v="48.65"/>
    <n v="1388"/>
    <n v="1"/>
  </r>
  <r>
    <x v="15"/>
    <x v="1"/>
    <x v="1"/>
    <n v="7311.67"/>
    <n v="956693.92"/>
    <n v="33.799999999999997"/>
    <n v="34.21"/>
    <n v="1308"/>
    <n v="2"/>
  </r>
  <r>
    <x v="15"/>
    <x v="2"/>
    <x v="2"/>
    <n v="1624.45"/>
    <n v="175716.1"/>
    <n v="7.51"/>
    <n v="6.28"/>
    <n v="1082"/>
    <n v="3"/>
  </r>
  <r>
    <x v="15"/>
    <x v="4"/>
    <x v="3"/>
    <n v="671.89"/>
    <n v="35715.89"/>
    <n v="3.11"/>
    <n v="1.28"/>
    <n v="532"/>
    <n v="4"/>
  </r>
  <r>
    <x v="15"/>
    <x v="14"/>
    <x v="3"/>
    <n v="286.86"/>
    <n v="11745.61"/>
    <n v="1.33"/>
    <n v="0.42"/>
    <n v="409"/>
    <n v="5"/>
  </r>
  <r>
    <x v="15"/>
    <x v="7"/>
    <x v="3"/>
    <n v="159.05000000000001"/>
    <n v="2007.01"/>
    <n v="0.74"/>
    <n v="7.0000000000000007E-2"/>
    <n v="126"/>
    <n v="6"/>
  </r>
  <r>
    <x v="15"/>
    <x v="3"/>
    <x v="3"/>
    <n v="157.25"/>
    <n v="59073.03"/>
    <n v="0.73"/>
    <n v="2.11"/>
    <n v="3757"/>
    <n v="7"/>
  </r>
  <r>
    <x v="15"/>
    <x v="13"/>
    <x v="3"/>
    <n v="155.75"/>
    <n v="20246.97"/>
    <n v="0.72"/>
    <n v="0.72"/>
    <n v="1300"/>
    <n v="8"/>
  </r>
  <r>
    <x v="15"/>
    <x v="5"/>
    <x v="3"/>
    <n v="144.75"/>
    <n v="13612.02"/>
    <n v="0.67"/>
    <n v="0.49"/>
    <n v="940"/>
    <n v="9"/>
  </r>
  <r>
    <x v="15"/>
    <x v="9"/>
    <x v="3"/>
    <n v="100.45"/>
    <n v="7399.16"/>
    <n v="0.46"/>
    <n v="0.26"/>
    <n v="737"/>
    <n v="10"/>
  </r>
  <r>
    <x v="15"/>
    <x v="10"/>
    <x v="3"/>
    <n v="94.55"/>
    <n v="11500.65"/>
    <n v="0.44"/>
    <n v="0.41"/>
    <n v="1216"/>
    <n v="11"/>
  </r>
  <r>
    <x v="15"/>
    <x v="6"/>
    <x v="3"/>
    <n v="86.48"/>
    <n v="10133.85"/>
    <n v="0.4"/>
    <n v="0.36"/>
    <n v="1172"/>
    <n v="12"/>
  </r>
  <r>
    <x v="15"/>
    <x v="11"/>
    <x v="3"/>
    <n v="75.34"/>
    <n v="17540.37"/>
    <n v="0.35"/>
    <n v="0.63"/>
    <n v="2328"/>
    <n v="13"/>
  </r>
  <r>
    <x v="15"/>
    <x v="8"/>
    <x v="3"/>
    <n v="72.52"/>
    <n v="18742.95"/>
    <n v="0.34"/>
    <n v="0.67"/>
    <n v="2585"/>
    <n v="14"/>
  </r>
  <r>
    <x v="15"/>
    <x v="16"/>
    <x v="3"/>
    <n v="63.4"/>
    <n v="7451.94"/>
    <n v="0.28999999999999998"/>
    <n v="0.27"/>
    <n v="1175"/>
    <n v="15"/>
  </r>
  <r>
    <x v="15"/>
    <x v="12"/>
    <x v="3"/>
    <n v="49.47"/>
    <n v="6917.69"/>
    <n v="0.23"/>
    <n v="0.25"/>
    <n v="1398"/>
    <n v="16"/>
  </r>
  <r>
    <x v="15"/>
    <x v="20"/>
    <x v="3"/>
    <n v="34.450000000000003"/>
    <n v="3749.59"/>
    <n v="0.16"/>
    <n v="0.13"/>
    <n v="1088"/>
    <n v="17"/>
  </r>
  <r>
    <x v="15"/>
    <x v="24"/>
    <x v="3"/>
    <n v="17.91"/>
    <n v="1893.26"/>
    <n v="0.08"/>
    <n v="7.0000000000000007E-2"/>
    <n v="1057"/>
    <n v="18"/>
  </r>
  <r>
    <x v="15"/>
    <x v="15"/>
    <x v="3"/>
    <n v="16.05"/>
    <n v="1332.95"/>
    <n v="7.0000000000000007E-2"/>
    <n v="0.05"/>
    <n v="830"/>
    <n v="19"/>
  </r>
  <r>
    <x v="15"/>
    <x v="17"/>
    <x v="3"/>
    <n v="15.87"/>
    <n v="11688.01"/>
    <n v="7.0000000000000007E-2"/>
    <n v="0.42"/>
    <n v="7365"/>
    <n v="20"/>
  </r>
  <r>
    <x v="15"/>
    <x v="21"/>
    <x v="3"/>
    <n v="14.63"/>
    <n v="4313.8599999999997"/>
    <n v="7.0000000000000007E-2"/>
    <n v="0.15"/>
    <n v="2949"/>
    <n v="21"/>
  </r>
  <r>
    <x v="15"/>
    <x v="22"/>
    <x v="3"/>
    <n v="14.49"/>
    <n v="3173.31"/>
    <n v="7.0000000000000007E-2"/>
    <n v="0.11"/>
    <n v="2190"/>
    <n v="22"/>
  </r>
  <r>
    <x v="15"/>
    <x v="19"/>
    <x v="3"/>
    <n v="13.35"/>
    <n v="2822.57"/>
    <n v="0.06"/>
    <n v="0.1"/>
    <n v="2114"/>
    <n v="23"/>
  </r>
  <r>
    <x v="15"/>
    <x v="23"/>
    <x v="3"/>
    <n v="11.36"/>
    <n v="745.25"/>
    <n v="0.05"/>
    <n v="0.03"/>
    <n v="656"/>
    <n v="24"/>
  </r>
  <r>
    <x v="15"/>
    <x v="32"/>
    <x v="3"/>
    <n v="9.3800000000000008"/>
    <n v="705.72"/>
    <n v="0.04"/>
    <n v="0.03"/>
    <n v="752"/>
    <n v="25"/>
  </r>
  <r>
    <x v="15"/>
    <x v="34"/>
    <x v="3"/>
    <n v="8.56"/>
    <n v="4327.9799999999996"/>
    <n v="0.04"/>
    <n v="0.15"/>
    <n v="5056"/>
    <n v="26"/>
  </r>
  <r>
    <x v="15"/>
    <x v="25"/>
    <x v="3"/>
    <n v="7.33"/>
    <n v="1853.24"/>
    <n v="0.03"/>
    <n v="7.0000000000000007E-2"/>
    <n v="2528"/>
    <n v="27"/>
  </r>
  <r>
    <x v="15"/>
    <x v="29"/>
    <x v="3"/>
    <n v="6.39"/>
    <n v="440.97"/>
    <n v="0.03"/>
    <n v="0.02"/>
    <n v="690"/>
    <n v="28"/>
  </r>
  <r>
    <x v="15"/>
    <x v="26"/>
    <x v="3"/>
    <n v="6.09"/>
    <n v="966.07"/>
    <n v="0.03"/>
    <n v="0.03"/>
    <n v="1586"/>
    <n v="29"/>
  </r>
  <r>
    <x v="15"/>
    <x v="27"/>
    <x v="3"/>
    <n v="5.36"/>
    <n v="827.1"/>
    <n v="0.02"/>
    <n v="0.03"/>
    <n v="1543"/>
    <n v="30"/>
  </r>
  <r>
    <x v="15"/>
    <x v="28"/>
    <x v="3"/>
    <n v="4.53"/>
    <n v="1142.72"/>
    <n v="0.02"/>
    <n v="0.04"/>
    <n v="2523"/>
    <n v="31"/>
  </r>
  <r>
    <x v="15"/>
    <x v="61"/>
    <x v="3"/>
    <n v="3.77"/>
    <n v="316.05"/>
    <n v="0.02"/>
    <n v="0.01"/>
    <n v="838"/>
    <n v="32"/>
  </r>
  <r>
    <x v="15"/>
    <x v="82"/>
    <x v="3"/>
    <n v="3.33"/>
    <n v="1054.69"/>
    <n v="0.02"/>
    <n v="0.04"/>
    <n v="3167"/>
    <n v="33"/>
  </r>
  <r>
    <x v="15"/>
    <x v="49"/>
    <x v="3"/>
    <n v="3.1"/>
    <n v="439.43"/>
    <n v="0.01"/>
    <n v="0.02"/>
    <n v="1418"/>
    <n v="34"/>
  </r>
  <r>
    <x v="15"/>
    <x v="30"/>
    <x v="3"/>
    <n v="2.96"/>
    <n v="748.71"/>
    <n v="0.01"/>
    <n v="0.03"/>
    <n v="2529"/>
    <n v="35"/>
  </r>
  <r>
    <x v="15"/>
    <x v="18"/>
    <x v="3"/>
    <n v="2.8"/>
    <n v="152.97"/>
    <n v="0.01"/>
    <n v="0.01"/>
    <n v="546"/>
    <n v="36"/>
  </r>
  <r>
    <x v="15"/>
    <x v="75"/>
    <x v="3"/>
    <n v="2.59"/>
    <n v="381.14"/>
    <n v="0.01"/>
    <n v="0.01"/>
    <n v="1472"/>
    <n v="37"/>
  </r>
  <r>
    <x v="15"/>
    <x v="38"/>
    <x v="3"/>
    <n v="2.5"/>
    <n v="390.02"/>
    <n v="0.01"/>
    <n v="0.01"/>
    <n v="1560"/>
    <n v="38"/>
  </r>
  <r>
    <x v="15"/>
    <x v="50"/>
    <x v="3"/>
    <n v="2.5"/>
    <n v="5.76"/>
    <n v="0.01"/>
    <n v="0"/>
    <n v="23"/>
    <n v="38"/>
  </r>
  <r>
    <x v="15"/>
    <x v="65"/>
    <x v="3"/>
    <n v="2.46"/>
    <n v="206.84"/>
    <n v="0.01"/>
    <n v="0.01"/>
    <n v="841"/>
    <n v="40"/>
  </r>
  <r>
    <x v="15"/>
    <x v="36"/>
    <x v="3"/>
    <n v="2.25"/>
    <n v="566.75"/>
    <n v="0.01"/>
    <n v="0.02"/>
    <n v="2519"/>
    <n v="41"/>
  </r>
  <r>
    <x v="15"/>
    <x v="35"/>
    <x v="3"/>
    <n v="1.95"/>
    <n v="134.81"/>
    <n v="0.01"/>
    <n v="0"/>
    <n v="691"/>
    <n v="42"/>
  </r>
  <r>
    <x v="15"/>
    <x v="33"/>
    <x v="3"/>
    <n v="1.81"/>
    <n v="37.130000000000003"/>
    <n v="0.01"/>
    <n v="0"/>
    <n v="205"/>
    <n v="43"/>
  </r>
  <r>
    <x v="15"/>
    <x v="79"/>
    <x v="3"/>
    <n v="1.79"/>
    <n v="103.65"/>
    <n v="0.01"/>
    <n v="0"/>
    <n v="579"/>
    <n v="44"/>
  </r>
  <r>
    <x v="15"/>
    <x v="47"/>
    <x v="3"/>
    <n v="1.7"/>
    <n v="266.08999999999997"/>
    <n v="0.01"/>
    <n v="0.01"/>
    <n v="1565"/>
    <n v="45"/>
  </r>
  <r>
    <x v="15"/>
    <x v="31"/>
    <x v="3"/>
    <n v="1.59"/>
    <n v="474.12"/>
    <n v="0.01"/>
    <n v="0.02"/>
    <n v="2982"/>
    <n v="46"/>
  </r>
  <r>
    <x v="15"/>
    <x v="89"/>
    <x v="3"/>
    <n v="1.57"/>
    <n v="77.28"/>
    <n v="0.01"/>
    <n v="0"/>
    <n v="492"/>
    <n v="47"/>
  </r>
  <r>
    <x v="15"/>
    <x v="39"/>
    <x v="3"/>
    <n v="1.46"/>
    <n v="26.21"/>
    <n v="0.01"/>
    <n v="0"/>
    <n v="180"/>
    <n v="48"/>
  </r>
  <r>
    <x v="15"/>
    <x v="48"/>
    <x v="3"/>
    <n v="1.43"/>
    <n v="111.67"/>
    <n v="0.01"/>
    <n v="0"/>
    <n v="781"/>
    <n v="49"/>
  </r>
  <r>
    <x v="15"/>
    <x v="76"/>
    <x v="3"/>
    <n v="1.28"/>
    <n v="133.33000000000001"/>
    <n v="0.01"/>
    <n v="0"/>
    <n v="1042"/>
    <n v="50"/>
  </r>
  <r>
    <x v="15"/>
    <x v="43"/>
    <x v="3"/>
    <n v="1.26"/>
    <n v="156.91"/>
    <n v="0.01"/>
    <n v="0.01"/>
    <n v="1245"/>
    <n v="51"/>
  </r>
  <r>
    <x v="15"/>
    <x v="46"/>
    <x v="3"/>
    <n v="1.25"/>
    <n v="421.6"/>
    <n v="0.01"/>
    <n v="0.02"/>
    <n v="3373"/>
    <n v="52"/>
  </r>
  <r>
    <x v="15"/>
    <x v="91"/>
    <x v="3"/>
    <n v="1.01"/>
    <n v="16.97"/>
    <n v="0"/>
    <n v="0"/>
    <n v="168"/>
    <n v="53"/>
  </r>
  <r>
    <x v="15"/>
    <x v="44"/>
    <x v="3"/>
    <n v="1"/>
    <n v="87.85"/>
    <n v="0"/>
    <n v="0"/>
    <n v="879"/>
    <n v="54"/>
  </r>
  <r>
    <x v="15"/>
    <x v="40"/>
    <x v="3"/>
    <n v="0.94"/>
    <n v="273.39"/>
    <n v="0"/>
    <n v="0.01"/>
    <n v="2908"/>
    <n v="55"/>
  </r>
  <r>
    <x v="15"/>
    <x v="41"/>
    <x v="3"/>
    <n v="0.93"/>
    <n v="273.45999999999998"/>
    <n v="0"/>
    <n v="0.01"/>
    <n v="2940"/>
    <n v="56"/>
  </r>
  <r>
    <x v="15"/>
    <x v="45"/>
    <x v="3"/>
    <n v="0.81"/>
    <n v="264.18"/>
    <n v="0"/>
    <n v="0.01"/>
    <n v="3261"/>
    <n v="57"/>
  </r>
  <r>
    <x v="15"/>
    <x v="42"/>
    <x v="3"/>
    <n v="0.63"/>
    <n v="224.56"/>
    <n v="0"/>
    <n v="0.01"/>
    <n v="3564"/>
    <n v="58"/>
  </r>
  <r>
    <x v="15"/>
    <x v="67"/>
    <x v="3"/>
    <n v="0.62"/>
    <n v="784.25"/>
    <n v="0"/>
    <n v="0.03"/>
    <n v="12649"/>
    <n v="59"/>
  </r>
  <r>
    <x v="15"/>
    <x v="81"/>
    <x v="3"/>
    <n v="0.61"/>
    <n v="54.13"/>
    <n v="0"/>
    <n v="0"/>
    <n v="887"/>
    <n v="60"/>
  </r>
  <r>
    <x v="15"/>
    <x v="51"/>
    <x v="3"/>
    <n v="0.6"/>
    <n v="164.56"/>
    <n v="0"/>
    <n v="0.01"/>
    <n v="2743"/>
    <n v="61"/>
  </r>
  <r>
    <x v="15"/>
    <x v="70"/>
    <x v="3"/>
    <n v="0.59"/>
    <n v="56.56"/>
    <n v="0"/>
    <n v="0"/>
    <n v="959"/>
    <n v="62"/>
  </r>
  <r>
    <x v="15"/>
    <x v="37"/>
    <x v="3"/>
    <n v="0.46"/>
    <n v="150.27000000000001"/>
    <n v="0"/>
    <n v="0.01"/>
    <n v="3267"/>
    <n v="63"/>
  </r>
  <r>
    <x v="15"/>
    <x v="69"/>
    <x v="3"/>
    <n v="0.42"/>
    <n v="25.24"/>
    <n v="0"/>
    <n v="0"/>
    <n v="601"/>
    <n v="64"/>
  </r>
  <r>
    <x v="15"/>
    <x v="54"/>
    <x v="3"/>
    <n v="0.41"/>
    <n v="122.83"/>
    <n v="0"/>
    <n v="0"/>
    <n v="2996"/>
    <n v="65"/>
  </r>
  <r>
    <x v="15"/>
    <x v="64"/>
    <x v="3"/>
    <n v="0.4"/>
    <n v="33.659999999999997"/>
    <n v="0"/>
    <n v="0"/>
    <n v="842"/>
    <n v="66"/>
  </r>
  <r>
    <x v="15"/>
    <x v="56"/>
    <x v="3"/>
    <n v="0.38"/>
    <n v="120.71"/>
    <n v="0"/>
    <n v="0"/>
    <n v="3177"/>
    <n v="67"/>
  </r>
  <r>
    <x v="15"/>
    <x v="52"/>
    <x v="3"/>
    <n v="0.37"/>
    <n v="126.35"/>
    <n v="0"/>
    <n v="0"/>
    <n v="3415"/>
    <n v="68"/>
  </r>
  <r>
    <x v="15"/>
    <x v="80"/>
    <x v="3"/>
    <n v="0.36"/>
    <n v="32.520000000000003"/>
    <n v="0"/>
    <n v="0"/>
    <n v="903"/>
    <n v="69"/>
  </r>
  <r>
    <x v="15"/>
    <x v="55"/>
    <x v="3"/>
    <n v="0.28999999999999998"/>
    <n v="68.64"/>
    <n v="0"/>
    <n v="0"/>
    <n v="2367"/>
    <n v="70"/>
  </r>
  <r>
    <x v="15"/>
    <x v="88"/>
    <x v="3"/>
    <n v="0.25"/>
    <n v="6.05"/>
    <n v="0"/>
    <n v="0"/>
    <n v="242"/>
    <n v="71"/>
  </r>
  <r>
    <x v="15"/>
    <x v="66"/>
    <x v="3"/>
    <n v="0.21"/>
    <n v="7.24"/>
    <n v="0"/>
    <n v="0"/>
    <n v="345"/>
    <n v="72"/>
  </r>
  <r>
    <x v="15"/>
    <x v="57"/>
    <x v="3"/>
    <n v="0.21"/>
    <n v="9.1"/>
    <n v="0"/>
    <n v="0"/>
    <n v="433"/>
    <n v="72"/>
  </r>
  <r>
    <x v="15"/>
    <x v="53"/>
    <x v="3"/>
    <n v="0.19"/>
    <n v="52.64"/>
    <n v="0"/>
    <n v="0"/>
    <n v="2771"/>
    <n v="74"/>
  </r>
  <r>
    <x v="15"/>
    <x v="60"/>
    <x v="3"/>
    <n v="0.17"/>
    <n v="84.4"/>
    <n v="0"/>
    <n v="0"/>
    <n v="4965"/>
    <n v="75"/>
  </r>
  <r>
    <x v="15"/>
    <x v="84"/>
    <x v="3"/>
    <n v="0.17"/>
    <n v="26.26"/>
    <n v="0"/>
    <n v="0"/>
    <n v="1545"/>
    <n v="75"/>
  </r>
  <r>
    <x v="15"/>
    <x v="68"/>
    <x v="3"/>
    <n v="0.13"/>
    <n v="45.88"/>
    <n v="0"/>
    <n v="0"/>
    <n v="3529"/>
    <n v="77"/>
  </r>
  <r>
    <x v="15"/>
    <x v="90"/>
    <x v="3"/>
    <n v="0.13"/>
    <n v="15.83"/>
    <n v="0"/>
    <n v="0"/>
    <n v="1218"/>
    <n v="77"/>
  </r>
  <r>
    <x v="15"/>
    <x v="63"/>
    <x v="3"/>
    <n v="0.11"/>
    <n v="39.25"/>
    <n v="0"/>
    <n v="0"/>
    <n v="3568"/>
    <n v="79"/>
  </r>
  <r>
    <x v="15"/>
    <x v="86"/>
    <x v="3"/>
    <n v="0.1"/>
    <n v="10.220000000000001"/>
    <n v="0"/>
    <n v="0"/>
    <n v="1022"/>
    <n v="80"/>
  </r>
  <r>
    <x v="15"/>
    <x v="85"/>
    <x v="3"/>
    <n v="0.08"/>
    <n v="26.45"/>
    <n v="0"/>
    <n v="0"/>
    <n v="3306"/>
    <n v="81"/>
  </r>
  <r>
    <x v="15"/>
    <x v="62"/>
    <x v="3"/>
    <n v="7.0000000000000007E-2"/>
    <n v="29.47"/>
    <n v="0"/>
    <n v="0"/>
    <n v="4210"/>
    <n v="82"/>
  </r>
  <r>
    <x v="15"/>
    <x v="94"/>
    <x v="3"/>
    <n v="0.06"/>
    <n v="6.09"/>
    <n v="0"/>
    <n v="0"/>
    <n v="1015"/>
    <n v="83"/>
  </r>
  <r>
    <x v="15"/>
    <x v="83"/>
    <x v="3"/>
    <n v="0.06"/>
    <n v="17.64"/>
    <n v="0"/>
    <n v="0"/>
    <n v="2940"/>
    <n v="83"/>
  </r>
  <r>
    <x v="15"/>
    <x v="58"/>
    <x v="3"/>
    <n v="0.05"/>
    <n v="3.7"/>
    <n v="0"/>
    <n v="0"/>
    <n v="740"/>
    <n v="85"/>
  </r>
  <r>
    <x v="15"/>
    <x v="92"/>
    <x v="3"/>
    <n v="0.05"/>
    <n v="2.71"/>
    <n v="0"/>
    <n v="0"/>
    <n v="542"/>
    <n v="85"/>
  </r>
  <r>
    <x v="15"/>
    <x v="72"/>
    <x v="3"/>
    <n v="0.05"/>
    <n v="14.17"/>
    <n v="0"/>
    <n v="0"/>
    <n v="2834"/>
    <n v="85"/>
  </r>
  <r>
    <x v="15"/>
    <x v="77"/>
    <x v="3"/>
    <n v="0.04"/>
    <n v="3.88"/>
    <n v="0"/>
    <n v="0"/>
    <n v="970"/>
    <n v="88"/>
  </r>
  <r>
    <x v="15"/>
    <x v="95"/>
    <x v="3"/>
    <n v="0.03"/>
    <n v="7.04"/>
    <n v="0"/>
    <n v="0"/>
    <n v="2347"/>
    <n v="89"/>
  </r>
  <r>
    <x v="15"/>
    <x v="93"/>
    <x v="3"/>
    <n v="0.03"/>
    <n v="2.4300000000000002"/>
    <n v="0"/>
    <n v="0"/>
    <n v="810"/>
    <n v="89"/>
  </r>
  <r>
    <x v="15"/>
    <x v="71"/>
    <x v="3"/>
    <n v="0.03"/>
    <n v="12.97"/>
    <n v="0"/>
    <n v="0"/>
    <n v="4323"/>
    <n v="89"/>
  </r>
  <r>
    <x v="16"/>
    <x v="0"/>
    <x v="0"/>
    <n v="9913.6299999999992"/>
    <n v="1377458.79"/>
    <n v="45.68"/>
    <n v="48.61"/>
    <n v="1389"/>
    <n v="1"/>
  </r>
  <r>
    <x v="16"/>
    <x v="1"/>
    <x v="1"/>
    <n v="7229.11"/>
    <n v="956985.04"/>
    <n v="33.31"/>
    <n v="33.770000000000003"/>
    <n v="1324"/>
    <n v="2"/>
  </r>
  <r>
    <x v="16"/>
    <x v="2"/>
    <x v="2"/>
    <n v="1659.49"/>
    <n v="181973.34"/>
    <n v="7.65"/>
    <n v="6.42"/>
    <n v="1097"/>
    <n v="3"/>
  </r>
  <r>
    <x v="16"/>
    <x v="4"/>
    <x v="3"/>
    <n v="709.26"/>
    <n v="37955.69"/>
    <n v="3.27"/>
    <n v="1.34"/>
    <n v="535"/>
    <n v="4"/>
  </r>
  <r>
    <x v="16"/>
    <x v="14"/>
    <x v="3"/>
    <n v="298.41000000000003"/>
    <n v="12546.39"/>
    <n v="1.37"/>
    <n v="0.44"/>
    <n v="420"/>
    <n v="5"/>
  </r>
  <r>
    <x v="16"/>
    <x v="13"/>
    <x v="3"/>
    <n v="172.07"/>
    <n v="22025.89"/>
    <n v="0.79"/>
    <n v="0.78"/>
    <n v="1280"/>
    <n v="6"/>
  </r>
  <r>
    <x v="16"/>
    <x v="7"/>
    <x v="3"/>
    <n v="161.18"/>
    <n v="2038.12"/>
    <n v="0.74"/>
    <n v="7.0000000000000007E-2"/>
    <n v="126"/>
    <n v="7"/>
  </r>
  <r>
    <x v="16"/>
    <x v="3"/>
    <x v="3"/>
    <n v="156.86000000000001"/>
    <n v="58840.62"/>
    <n v="0.72"/>
    <n v="2.08"/>
    <n v="3751"/>
    <n v="8"/>
  </r>
  <r>
    <x v="16"/>
    <x v="5"/>
    <x v="3"/>
    <n v="152.6"/>
    <n v="13206.89"/>
    <n v="0.7"/>
    <n v="0.47"/>
    <n v="865"/>
    <n v="9"/>
  </r>
  <r>
    <x v="16"/>
    <x v="9"/>
    <x v="3"/>
    <n v="112.65"/>
    <n v="8358.2099999999991"/>
    <n v="0.52"/>
    <n v="0.28999999999999998"/>
    <n v="742"/>
    <n v="10"/>
  </r>
  <r>
    <x v="16"/>
    <x v="10"/>
    <x v="3"/>
    <n v="101.35"/>
    <n v="12304.69"/>
    <n v="0.47"/>
    <n v="0.43"/>
    <n v="1214"/>
    <n v="11"/>
  </r>
  <r>
    <x v="16"/>
    <x v="6"/>
    <x v="3"/>
    <n v="83.99"/>
    <n v="10257.83"/>
    <n v="0.39"/>
    <n v="0.36"/>
    <n v="1221"/>
    <n v="12"/>
  </r>
  <r>
    <x v="16"/>
    <x v="11"/>
    <x v="3"/>
    <n v="77.290000000000006"/>
    <n v="16665.03"/>
    <n v="0.36"/>
    <n v="0.59"/>
    <n v="2156"/>
    <n v="13"/>
  </r>
  <r>
    <x v="16"/>
    <x v="8"/>
    <x v="3"/>
    <n v="67.97"/>
    <n v="19319.18"/>
    <n v="0.31"/>
    <n v="0.68"/>
    <n v="2842"/>
    <n v="14"/>
  </r>
  <r>
    <x v="16"/>
    <x v="16"/>
    <x v="3"/>
    <n v="64.72"/>
    <n v="7631.14"/>
    <n v="0.3"/>
    <n v="0.27"/>
    <n v="1179"/>
    <n v="15"/>
  </r>
  <r>
    <x v="16"/>
    <x v="12"/>
    <x v="3"/>
    <n v="52.98"/>
    <n v="7850.57"/>
    <n v="0.24"/>
    <n v="0.28000000000000003"/>
    <n v="1482"/>
    <n v="16"/>
  </r>
  <r>
    <x v="16"/>
    <x v="20"/>
    <x v="3"/>
    <n v="39.57"/>
    <n v="4057.84"/>
    <n v="0.18"/>
    <n v="0.14000000000000001"/>
    <n v="1025"/>
    <n v="17"/>
  </r>
  <r>
    <x v="16"/>
    <x v="17"/>
    <x v="3"/>
    <n v="18.82"/>
    <n v="16201.06"/>
    <n v="0.09"/>
    <n v="0.56999999999999995"/>
    <n v="8608"/>
    <n v="18"/>
  </r>
  <r>
    <x v="16"/>
    <x v="24"/>
    <x v="3"/>
    <n v="18.75"/>
    <n v="1999.28"/>
    <n v="0.09"/>
    <n v="7.0000000000000007E-2"/>
    <n v="1066"/>
    <n v="19"/>
  </r>
  <r>
    <x v="16"/>
    <x v="22"/>
    <x v="3"/>
    <n v="17.75"/>
    <n v="3315.6"/>
    <n v="0.08"/>
    <n v="0.12"/>
    <n v="1868"/>
    <n v="20"/>
  </r>
  <r>
    <x v="16"/>
    <x v="15"/>
    <x v="3"/>
    <n v="17.149999999999999"/>
    <n v="1376.98"/>
    <n v="0.08"/>
    <n v="0.05"/>
    <n v="803"/>
    <n v="21"/>
  </r>
  <r>
    <x v="16"/>
    <x v="21"/>
    <x v="3"/>
    <n v="15.6"/>
    <n v="4579.21"/>
    <n v="7.0000000000000007E-2"/>
    <n v="0.16"/>
    <n v="2935"/>
    <n v="22"/>
  </r>
  <r>
    <x v="16"/>
    <x v="19"/>
    <x v="3"/>
    <n v="13.38"/>
    <n v="2757.27"/>
    <n v="0.06"/>
    <n v="0.1"/>
    <n v="2061"/>
    <n v="23"/>
  </r>
  <r>
    <x v="16"/>
    <x v="23"/>
    <x v="3"/>
    <n v="11.21"/>
    <n v="752.03"/>
    <n v="0.05"/>
    <n v="0.03"/>
    <n v="671"/>
    <n v="24"/>
  </r>
  <r>
    <x v="16"/>
    <x v="32"/>
    <x v="3"/>
    <n v="8.5"/>
    <n v="686.09"/>
    <n v="0.04"/>
    <n v="0.02"/>
    <n v="807"/>
    <n v="25"/>
  </r>
  <r>
    <x v="16"/>
    <x v="34"/>
    <x v="3"/>
    <n v="8.2899999999999991"/>
    <n v="4365.6099999999997"/>
    <n v="0.04"/>
    <n v="0.15"/>
    <n v="5266"/>
    <n v="26"/>
  </r>
  <r>
    <x v="16"/>
    <x v="25"/>
    <x v="3"/>
    <n v="7.52"/>
    <n v="2016.33"/>
    <n v="0.03"/>
    <n v="7.0000000000000007E-2"/>
    <n v="2681"/>
    <n v="27"/>
  </r>
  <r>
    <x v="16"/>
    <x v="29"/>
    <x v="3"/>
    <n v="6.57"/>
    <n v="456.14"/>
    <n v="0.03"/>
    <n v="0.02"/>
    <n v="694"/>
    <n v="28"/>
  </r>
  <r>
    <x v="16"/>
    <x v="26"/>
    <x v="3"/>
    <n v="5.93"/>
    <n v="982.03"/>
    <n v="0.03"/>
    <n v="0.03"/>
    <n v="1656"/>
    <n v="29"/>
  </r>
  <r>
    <x v="16"/>
    <x v="27"/>
    <x v="3"/>
    <n v="5.29"/>
    <n v="853.4"/>
    <n v="0.02"/>
    <n v="0.03"/>
    <n v="1613"/>
    <n v="30"/>
  </r>
  <r>
    <x v="16"/>
    <x v="28"/>
    <x v="3"/>
    <n v="4.1399999999999997"/>
    <n v="1110.6500000000001"/>
    <n v="0.02"/>
    <n v="0.04"/>
    <n v="2683"/>
    <n v="31"/>
  </r>
  <r>
    <x v="16"/>
    <x v="82"/>
    <x v="3"/>
    <n v="4.01"/>
    <n v="1336.23"/>
    <n v="0.02"/>
    <n v="0.05"/>
    <n v="3332"/>
    <n v="32"/>
  </r>
  <r>
    <x v="16"/>
    <x v="18"/>
    <x v="3"/>
    <n v="3.09"/>
    <n v="163.55000000000001"/>
    <n v="0.01"/>
    <n v="0.01"/>
    <n v="529"/>
    <n v="33"/>
  </r>
  <r>
    <x v="16"/>
    <x v="49"/>
    <x v="3"/>
    <n v="3.04"/>
    <n v="474.14"/>
    <n v="0.01"/>
    <n v="0.02"/>
    <n v="1560"/>
    <n v="34"/>
  </r>
  <r>
    <x v="16"/>
    <x v="50"/>
    <x v="3"/>
    <n v="3"/>
    <n v="6.05"/>
    <n v="0.01"/>
    <n v="0"/>
    <n v="20"/>
    <n v="35"/>
  </r>
  <r>
    <x v="16"/>
    <x v="61"/>
    <x v="3"/>
    <n v="2.94"/>
    <n v="383.15"/>
    <n v="0.01"/>
    <n v="0.01"/>
    <n v="1303"/>
    <n v="36"/>
  </r>
  <r>
    <x v="16"/>
    <x v="79"/>
    <x v="3"/>
    <n v="2.61"/>
    <n v="143.19"/>
    <n v="0.01"/>
    <n v="0.01"/>
    <n v="549"/>
    <n v="37"/>
  </r>
  <r>
    <x v="16"/>
    <x v="75"/>
    <x v="3"/>
    <n v="2.5"/>
    <n v="373.44"/>
    <n v="0.01"/>
    <n v="0.01"/>
    <n v="1494"/>
    <n v="38"/>
  </r>
  <r>
    <x v="16"/>
    <x v="65"/>
    <x v="3"/>
    <n v="2.48"/>
    <n v="218.56"/>
    <n v="0.01"/>
    <n v="0.01"/>
    <n v="881"/>
    <n v="39"/>
  </r>
  <r>
    <x v="16"/>
    <x v="38"/>
    <x v="3"/>
    <n v="2.46"/>
    <n v="371.79"/>
    <n v="0.01"/>
    <n v="0.01"/>
    <n v="1511"/>
    <n v="40"/>
  </r>
  <r>
    <x v="16"/>
    <x v="89"/>
    <x v="3"/>
    <n v="2.21"/>
    <n v="120.02"/>
    <n v="0.01"/>
    <n v="0"/>
    <n v="543"/>
    <n v="41"/>
  </r>
  <r>
    <x v="16"/>
    <x v="48"/>
    <x v="3"/>
    <n v="1.98"/>
    <n v="148.12"/>
    <n v="0.01"/>
    <n v="0.01"/>
    <n v="748"/>
    <n v="42"/>
  </r>
  <r>
    <x v="16"/>
    <x v="35"/>
    <x v="3"/>
    <n v="1.94"/>
    <n v="121.46"/>
    <n v="0.01"/>
    <n v="0"/>
    <n v="626"/>
    <n v="43"/>
  </r>
  <r>
    <x v="16"/>
    <x v="30"/>
    <x v="3"/>
    <n v="1.85"/>
    <n v="479.04"/>
    <n v="0.01"/>
    <n v="0.02"/>
    <n v="2589"/>
    <n v="44"/>
  </r>
  <r>
    <x v="16"/>
    <x v="39"/>
    <x v="3"/>
    <n v="1.58"/>
    <n v="26.15"/>
    <n v="0.01"/>
    <n v="0"/>
    <n v="166"/>
    <n v="45"/>
  </r>
  <r>
    <x v="16"/>
    <x v="36"/>
    <x v="3"/>
    <n v="1.57"/>
    <n v="438.51"/>
    <n v="0.01"/>
    <n v="0.02"/>
    <n v="2793"/>
    <n v="46"/>
  </r>
  <r>
    <x v="16"/>
    <x v="33"/>
    <x v="3"/>
    <n v="1.51"/>
    <n v="27.49"/>
    <n v="0.01"/>
    <n v="0"/>
    <n v="182"/>
    <n v="47"/>
  </r>
  <r>
    <x v="16"/>
    <x v="31"/>
    <x v="3"/>
    <n v="1.49"/>
    <n v="449.01"/>
    <n v="0.01"/>
    <n v="0.02"/>
    <n v="3013"/>
    <n v="48"/>
  </r>
  <r>
    <x v="16"/>
    <x v="47"/>
    <x v="3"/>
    <n v="1.37"/>
    <n v="233.81"/>
    <n v="0.01"/>
    <n v="0.01"/>
    <n v="1707"/>
    <n v="49"/>
  </r>
  <r>
    <x v="16"/>
    <x v="46"/>
    <x v="3"/>
    <n v="1.35"/>
    <n v="465.91"/>
    <n v="0.01"/>
    <n v="0.02"/>
    <n v="3451"/>
    <n v="50"/>
  </r>
  <r>
    <x v="16"/>
    <x v="43"/>
    <x v="3"/>
    <n v="1.26"/>
    <n v="154.21"/>
    <n v="0.01"/>
    <n v="0.01"/>
    <n v="1224"/>
    <n v="51"/>
  </r>
  <r>
    <x v="16"/>
    <x v="40"/>
    <x v="3"/>
    <n v="0.99"/>
    <n v="286.52"/>
    <n v="0"/>
    <n v="0.01"/>
    <n v="2894"/>
    <n v="52"/>
  </r>
  <r>
    <x v="16"/>
    <x v="41"/>
    <x v="3"/>
    <n v="0.92"/>
    <n v="289.61"/>
    <n v="0"/>
    <n v="0.01"/>
    <n v="3148"/>
    <n v="53"/>
  </r>
  <r>
    <x v="16"/>
    <x v="76"/>
    <x v="3"/>
    <n v="0.9"/>
    <n v="102.33"/>
    <n v="0"/>
    <n v="0"/>
    <n v="1137"/>
    <n v="54"/>
  </r>
  <r>
    <x v="16"/>
    <x v="45"/>
    <x v="3"/>
    <n v="0.86"/>
    <n v="282.32"/>
    <n v="0"/>
    <n v="0.01"/>
    <n v="3283"/>
    <n v="55"/>
  </r>
  <r>
    <x v="16"/>
    <x v="81"/>
    <x v="3"/>
    <n v="0.66"/>
    <n v="60.31"/>
    <n v="0"/>
    <n v="0"/>
    <n v="914"/>
    <n v="56"/>
  </r>
  <r>
    <x v="16"/>
    <x v="51"/>
    <x v="3"/>
    <n v="0.61"/>
    <n v="170.83"/>
    <n v="0"/>
    <n v="0.01"/>
    <n v="2800"/>
    <n v="57"/>
  </r>
  <r>
    <x v="16"/>
    <x v="67"/>
    <x v="3"/>
    <n v="0.61"/>
    <n v="734.23"/>
    <n v="0"/>
    <n v="0.03"/>
    <n v="12037"/>
    <n v="57"/>
  </r>
  <r>
    <x v="16"/>
    <x v="42"/>
    <x v="3"/>
    <n v="0.6"/>
    <n v="232.75"/>
    <n v="0"/>
    <n v="0.01"/>
    <n v="3879"/>
    <n v="59"/>
  </r>
  <r>
    <x v="16"/>
    <x v="88"/>
    <x v="3"/>
    <n v="0.53"/>
    <n v="15.68"/>
    <n v="0"/>
    <n v="0"/>
    <n v="296"/>
    <n v="60"/>
  </r>
  <r>
    <x v="16"/>
    <x v="64"/>
    <x v="3"/>
    <n v="0.5"/>
    <n v="40.909999999999997"/>
    <n v="0"/>
    <n v="0"/>
    <n v="818"/>
    <n v="61"/>
  </r>
  <r>
    <x v="16"/>
    <x v="37"/>
    <x v="3"/>
    <n v="0.48"/>
    <n v="165.59"/>
    <n v="0"/>
    <n v="0.01"/>
    <n v="3450"/>
    <n v="62"/>
  </r>
  <r>
    <x v="16"/>
    <x v="44"/>
    <x v="3"/>
    <n v="0.46"/>
    <n v="46.59"/>
    <n v="0"/>
    <n v="0"/>
    <n v="1013"/>
    <n v="63"/>
  </r>
  <r>
    <x v="16"/>
    <x v="54"/>
    <x v="3"/>
    <n v="0.46"/>
    <n v="124.07"/>
    <n v="0"/>
    <n v="0"/>
    <n v="2697"/>
    <n v="63"/>
  </r>
  <r>
    <x v="16"/>
    <x v="69"/>
    <x v="3"/>
    <n v="0.46"/>
    <n v="33.35"/>
    <n v="0"/>
    <n v="0"/>
    <n v="725"/>
    <n v="63"/>
  </r>
  <r>
    <x v="16"/>
    <x v="70"/>
    <x v="3"/>
    <n v="0.4"/>
    <n v="38.479999999999997"/>
    <n v="0"/>
    <n v="0"/>
    <n v="962"/>
    <n v="66"/>
  </r>
  <r>
    <x v="16"/>
    <x v="80"/>
    <x v="3"/>
    <n v="0.39"/>
    <n v="35.36"/>
    <n v="0"/>
    <n v="0"/>
    <n v="907"/>
    <n v="67"/>
  </r>
  <r>
    <x v="16"/>
    <x v="91"/>
    <x v="3"/>
    <n v="0.37"/>
    <n v="1.71"/>
    <n v="0"/>
    <n v="0"/>
    <n v="46"/>
    <n v="68"/>
  </r>
  <r>
    <x v="16"/>
    <x v="52"/>
    <x v="3"/>
    <n v="0.35"/>
    <n v="127.17"/>
    <n v="0"/>
    <n v="0"/>
    <n v="3633"/>
    <n v="69"/>
  </r>
  <r>
    <x v="16"/>
    <x v="56"/>
    <x v="3"/>
    <n v="0.34"/>
    <n v="110.33"/>
    <n v="0"/>
    <n v="0"/>
    <n v="3245"/>
    <n v="70"/>
  </r>
  <r>
    <x v="16"/>
    <x v="55"/>
    <x v="3"/>
    <n v="0.28999999999999998"/>
    <n v="69.239999999999995"/>
    <n v="0"/>
    <n v="0"/>
    <n v="2388"/>
    <n v="71"/>
  </r>
  <r>
    <x v="16"/>
    <x v="57"/>
    <x v="3"/>
    <n v="0.21"/>
    <n v="9.1"/>
    <n v="0"/>
    <n v="0"/>
    <n v="433"/>
    <n v="72"/>
  </r>
  <r>
    <x v="16"/>
    <x v="66"/>
    <x v="3"/>
    <n v="0.21"/>
    <n v="7.27"/>
    <n v="0"/>
    <n v="0"/>
    <n v="346"/>
    <n v="72"/>
  </r>
  <r>
    <x v="16"/>
    <x v="60"/>
    <x v="3"/>
    <n v="0.2"/>
    <n v="97.89"/>
    <n v="0"/>
    <n v="0"/>
    <n v="4895"/>
    <n v="74"/>
  </r>
  <r>
    <x v="16"/>
    <x v="84"/>
    <x v="3"/>
    <n v="0.18"/>
    <n v="28.32"/>
    <n v="0"/>
    <n v="0"/>
    <n v="1573"/>
    <n v="75"/>
  </r>
  <r>
    <x v="16"/>
    <x v="53"/>
    <x v="3"/>
    <n v="0.18"/>
    <n v="51.36"/>
    <n v="0"/>
    <n v="0"/>
    <n v="2853"/>
    <n v="75"/>
  </r>
  <r>
    <x v="16"/>
    <x v="94"/>
    <x v="3"/>
    <n v="0.17"/>
    <n v="19.739999999999998"/>
    <n v="0"/>
    <n v="0"/>
    <n v="1161"/>
    <n v="77"/>
  </r>
  <r>
    <x v="16"/>
    <x v="68"/>
    <x v="3"/>
    <n v="0.14000000000000001"/>
    <n v="49.25"/>
    <n v="0"/>
    <n v="0"/>
    <n v="3518"/>
    <n v="78"/>
  </r>
  <r>
    <x v="16"/>
    <x v="86"/>
    <x v="3"/>
    <n v="0.11"/>
    <n v="10.57"/>
    <n v="0"/>
    <n v="0"/>
    <n v="961"/>
    <n v="79"/>
  </r>
  <r>
    <x v="16"/>
    <x v="63"/>
    <x v="3"/>
    <n v="0.11"/>
    <n v="41.01"/>
    <n v="0"/>
    <n v="0"/>
    <n v="3728"/>
    <n v="79"/>
  </r>
  <r>
    <x v="16"/>
    <x v="90"/>
    <x v="3"/>
    <n v="0.1"/>
    <n v="12.15"/>
    <n v="0"/>
    <n v="0"/>
    <n v="1215"/>
    <n v="81"/>
  </r>
  <r>
    <x v="16"/>
    <x v="83"/>
    <x v="3"/>
    <n v="7.0000000000000007E-2"/>
    <n v="25.7"/>
    <n v="0"/>
    <n v="0"/>
    <n v="3671"/>
    <n v="82"/>
  </r>
  <r>
    <x v="16"/>
    <x v="77"/>
    <x v="3"/>
    <n v="7.0000000000000007E-2"/>
    <n v="6.43"/>
    <n v="0"/>
    <n v="0"/>
    <n v="919"/>
    <n v="82"/>
  </r>
  <r>
    <x v="16"/>
    <x v="62"/>
    <x v="3"/>
    <n v="7.0000000000000007E-2"/>
    <n v="28.62"/>
    <n v="0"/>
    <n v="0"/>
    <n v="4089"/>
    <n v="82"/>
  </r>
  <r>
    <x v="16"/>
    <x v="72"/>
    <x v="3"/>
    <n v="0.06"/>
    <n v="14.87"/>
    <n v="0"/>
    <n v="0"/>
    <n v="2478"/>
    <n v="85"/>
  </r>
  <r>
    <x v="16"/>
    <x v="92"/>
    <x v="3"/>
    <n v="0.05"/>
    <n v="3.14"/>
    <n v="0"/>
    <n v="0"/>
    <n v="628"/>
    <n v="86"/>
  </r>
  <r>
    <x v="16"/>
    <x v="85"/>
    <x v="3"/>
    <n v="0.05"/>
    <n v="15.24"/>
    <n v="0"/>
    <n v="0"/>
    <n v="3048"/>
    <n v="86"/>
  </r>
  <r>
    <x v="16"/>
    <x v="58"/>
    <x v="3"/>
    <n v="0.05"/>
    <n v="3.61"/>
    <n v="0"/>
    <n v="0"/>
    <n v="722"/>
    <n v="86"/>
  </r>
  <r>
    <x v="16"/>
    <x v="93"/>
    <x v="3"/>
    <n v="0.04"/>
    <n v="3.33"/>
    <n v="0"/>
    <n v="0"/>
    <n v="833"/>
    <n v="89"/>
  </r>
  <r>
    <x v="16"/>
    <x v="95"/>
    <x v="3"/>
    <n v="0.04"/>
    <n v="7.47"/>
    <n v="0"/>
    <n v="0"/>
    <n v="1868"/>
    <n v="89"/>
  </r>
  <r>
    <x v="16"/>
    <x v="71"/>
    <x v="3"/>
    <n v="0.03"/>
    <n v="15.58"/>
    <n v="0"/>
    <n v="0"/>
    <n v="5193"/>
    <n v="91"/>
  </r>
  <r>
    <x v="17"/>
    <x v="0"/>
    <x v="0"/>
    <n v="9284.2199999999993"/>
    <n v="1310392.95"/>
    <n v="45.52"/>
    <n v="48.82"/>
    <n v="1411"/>
    <n v="1"/>
  </r>
  <r>
    <x v="17"/>
    <x v="1"/>
    <x v="1"/>
    <n v="6767.14"/>
    <n v="903051.6"/>
    <n v="33.18"/>
    <n v="33.64"/>
    <n v="1334"/>
    <n v="2"/>
  </r>
  <r>
    <x v="17"/>
    <x v="2"/>
    <x v="2"/>
    <n v="1595.09"/>
    <n v="174128.86"/>
    <n v="7.82"/>
    <n v="6.49"/>
    <n v="1092"/>
    <n v="3"/>
  </r>
  <r>
    <x v="17"/>
    <x v="4"/>
    <x v="3"/>
    <n v="650.28"/>
    <n v="36563"/>
    <n v="3.19"/>
    <n v="1.36"/>
    <n v="562"/>
    <n v="4"/>
  </r>
  <r>
    <x v="17"/>
    <x v="14"/>
    <x v="3"/>
    <n v="289.32"/>
    <n v="12314.08"/>
    <n v="1.42"/>
    <n v="0.46"/>
    <n v="426"/>
    <n v="5"/>
  </r>
  <r>
    <x v="17"/>
    <x v="13"/>
    <x v="3"/>
    <n v="175.93"/>
    <n v="21263.919999999998"/>
    <n v="0.86"/>
    <n v="0.79"/>
    <n v="1209"/>
    <n v="6"/>
  </r>
  <r>
    <x v="17"/>
    <x v="7"/>
    <x v="3"/>
    <n v="149.06"/>
    <n v="1898.62"/>
    <n v="0.73"/>
    <n v="7.0000000000000007E-2"/>
    <n v="127"/>
    <n v="7"/>
  </r>
  <r>
    <x v="17"/>
    <x v="3"/>
    <x v="3"/>
    <n v="145.97999999999999"/>
    <n v="54045.919999999998"/>
    <n v="0.72"/>
    <n v="2.0099999999999998"/>
    <n v="3702"/>
    <n v="8"/>
  </r>
  <r>
    <x v="17"/>
    <x v="5"/>
    <x v="3"/>
    <n v="132.11000000000001"/>
    <n v="12157.93"/>
    <n v="0.65"/>
    <n v="0.45"/>
    <n v="920"/>
    <n v="9"/>
  </r>
  <r>
    <x v="17"/>
    <x v="9"/>
    <x v="3"/>
    <n v="112.89"/>
    <n v="8557.08"/>
    <n v="0.55000000000000004"/>
    <n v="0.32"/>
    <n v="758"/>
    <n v="10"/>
  </r>
  <r>
    <x v="17"/>
    <x v="10"/>
    <x v="3"/>
    <n v="102"/>
    <n v="12295.9"/>
    <n v="0.5"/>
    <n v="0.46"/>
    <n v="1205"/>
    <n v="11"/>
  </r>
  <r>
    <x v="17"/>
    <x v="6"/>
    <x v="3"/>
    <n v="75.81"/>
    <n v="9288.2099999999991"/>
    <n v="0.37"/>
    <n v="0.35"/>
    <n v="1225"/>
    <n v="12"/>
  </r>
  <r>
    <x v="17"/>
    <x v="11"/>
    <x v="3"/>
    <n v="66.94"/>
    <n v="15248.82"/>
    <n v="0.33"/>
    <n v="0.56999999999999995"/>
    <n v="2278"/>
    <n v="13"/>
  </r>
  <r>
    <x v="17"/>
    <x v="16"/>
    <x v="3"/>
    <n v="65.81"/>
    <n v="7509.87"/>
    <n v="0.32"/>
    <n v="0.28000000000000003"/>
    <n v="1141"/>
    <n v="14"/>
  </r>
  <r>
    <x v="17"/>
    <x v="20"/>
    <x v="3"/>
    <n v="42.57"/>
    <n v="4205.18"/>
    <n v="0.21"/>
    <n v="0.16"/>
    <n v="988"/>
    <n v="15"/>
  </r>
  <r>
    <x v="17"/>
    <x v="12"/>
    <x v="3"/>
    <n v="42.07"/>
    <n v="6194.7"/>
    <n v="0.21"/>
    <n v="0.23"/>
    <n v="1472"/>
    <n v="16"/>
  </r>
  <r>
    <x v="17"/>
    <x v="8"/>
    <x v="3"/>
    <n v="39.950000000000003"/>
    <n v="18213.669999999998"/>
    <n v="0.2"/>
    <n v="0.68"/>
    <n v="4559"/>
    <n v="17"/>
  </r>
  <r>
    <x v="17"/>
    <x v="22"/>
    <x v="3"/>
    <n v="37.409999999999997"/>
    <n v="3228.56"/>
    <n v="0.18"/>
    <n v="0.12"/>
    <n v="863"/>
    <n v="18"/>
  </r>
  <r>
    <x v="17"/>
    <x v="24"/>
    <x v="3"/>
    <n v="16.52"/>
    <n v="1788.5"/>
    <n v="0.08"/>
    <n v="7.0000000000000007E-2"/>
    <n v="1083"/>
    <n v="19"/>
  </r>
  <r>
    <x v="17"/>
    <x v="15"/>
    <x v="3"/>
    <n v="16.329999999999998"/>
    <n v="1323.37"/>
    <n v="0.08"/>
    <n v="0.05"/>
    <n v="810"/>
    <n v="20"/>
  </r>
  <r>
    <x v="17"/>
    <x v="17"/>
    <x v="3"/>
    <n v="16.3"/>
    <n v="12154.86"/>
    <n v="0.08"/>
    <n v="0.45"/>
    <n v="7457"/>
    <n v="21"/>
  </r>
  <r>
    <x v="17"/>
    <x v="21"/>
    <x v="3"/>
    <n v="15.7"/>
    <n v="4698.51"/>
    <n v="0.08"/>
    <n v="0.18"/>
    <n v="2993"/>
    <n v="22"/>
  </r>
  <r>
    <x v="17"/>
    <x v="19"/>
    <x v="3"/>
    <n v="13.01"/>
    <n v="2805.76"/>
    <n v="0.06"/>
    <n v="0.1"/>
    <n v="2157"/>
    <n v="23"/>
  </r>
  <r>
    <x v="17"/>
    <x v="23"/>
    <x v="3"/>
    <n v="10.29"/>
    <n v="679.66"/>
    <n v="0.05"/>
    <n v="0.03"/>
    <n v="661"/>
    <n v="24"/>
  </r>
  <r>
    <x v="17"/>
    <x v="34"/>
    <x v="3"/>
    <n v="10.029999999999999"/>
    <n v="4216.83"/>
    <n v="0.05"/>
    <n v="0.16"/>
    <n v="4204"/>
    <n v="25"/>
  </r>
  <r>
    <x v="17"/>
    <x v="32"/>
    <x v="3"/>
    <n v="8.48"/>
    <n v="662.57"/>
    <n v="0.04"/>
    <n v="0.02"/>
    <n v="781"/>
    <n v="26"/>
  </r>
  <r>
    <x v="17"/>
    <x v="25"/>
    <x v="3"/>
    <n v="6.7"/>
    <n v="2002.22"/>
    <n v="0.03"/>
    <n v="7.0000000000000007E-2"/>
    <n v="2988"/>
    <n v="27"/>
  </r>
  <r>
    <x v="17"/>
    <x v="29"/>
    <x v="3"/>
    <n v="6.64"/>
    <n v="449.17"/>
    <n v="0.03"/>
    <n v="0.02"/>
    <n v="676"/>
    <n v="28"/>
  </r>
  <r>
    <x v="17"/>
    <x v="26"/>
    <x v="3"/>
    <n v="5.35"/>
    <n v="897.61"/>
    <n v="0.03"/>
    <n v="0.03"/>
    <n v="1678"/>
    <n v="29"/>
  </r>
  <r>
    <x v="17"/>
    <x v="27"/>
    <x v="3"/>
    <n v="4.8499999999999996"/>
    <n v="791.38"/>
    <n v="0.02"/>
    <n v="0.03"/>
    <n v="1632"/>
    <n v="30"/>
  </r>
  <r>
    <x v="17"/>
    <x v="82"/>
    <x v="3"/>
    <n v="3.7"/>
    <n v="1096.3800000000001"/>
    <n v="0.02"/>
    <n v="0.04"/>
    <n v="2963"/>
    <n v="31"/>
  </r>
  <r>
    <x v="17"/>
    <x v="28"/>
    <x v="3"/>
    <n v="3.61"/>
    <n v="972.59"/>
    <n v="0.02"/>
    <n v="0.04"/>
    <n v="2694"/>
    <n v="32"/>
  </r>
  <r>
    <x v="17"/>
    <x v="79"/>
    <x v="3"/>
    <n v="2.83"/>
    <n v="157.81"/>
    <n v="0.01"/>
    <n v="0.01"/>
    <n v="558"/>
    <n v="33"/>
  </r>
  <r>
    <x v="17"/>
    <x v="65"/>
    <x v="3"/>
    <n v="2.72"/>
    <n v="224.48"/>
    <n v="0.01"/>
    <n v="0.01"/>
    <n v="825"/>
    <n v="34"/>
  </r>
  <r>
    <x v="17"/>
    <x v="49"/>
    <x v="3"/>
    <n v="2.65"/>
    <n v="434.15"/>
    <n v="0.01"/>
    <n v="0.02"/>
    <n v="1638"/>
    <n v="35"/>
  </r>
  <r>
    <x v="17"/>
    <x v="38"/>
    <x v="3"/>
    <n v="2.65"/>
    <n v="394.59"/>
    <n v="0.01"/>
    <n v="0.01"/>
    <n v="1489"/>
    <n v="35"/>
  </r>
  <r>
    <x v="17"/>
    <x v="89"/>
    <x v="3"/>
    <n v="2.44"/>
    <n v="142.33000000000001"/>
    <n v="0.01"/>
    <n v="0.01"/>
    <n v="583"/>
    <n v="37"/>
  </r>
  <r>
    <x v="17"/>
    <x v="18"/>
    <x v="3"/>
    <n v="2.39"/>
    <n v="115.59"/>
    <n v="0.01"/>
    <n v="0"/>
    <n v="484"/>
    <n v="38"/>
  </r>
  <r>
    <x v="17"/>
    <x v="50"/>
    <x v="3"/>
    <n v="2.37"/>
    <n v="13.3"/>
    <n v="0.01"/>
    <n v="0"/>
    <n v="56"/>
    <n v="39"/>
  </r>
  <r>
    <x v="17"/>
    <x v="30"/>
    <x v="3"/>
    <n v="1.96"/>
    <n v="536.12"/>
    <n v="0.01"/>
    <n v="0.02"/>
    <n v="2735"/>
    <n v="40"/>
  </r>
  <r>
    <x v="17"/>
    <x v="75"/>
    <x v="3"/>
    <n v="1.92"/>
    <n v="299.83"/>
    <n v="0.01"/>
    <n v="0.01"/>
    <n v="1562"/>
    <n v="41"/>
  </r>
  <r>
    <x v="17"/>
    <x v="39"/>
    <x v="3"/>
    <n v="1.87"/>
    <n v="25.79"/>
    <n v="0.01"/>
    <n v="0"/>
    <n v="138"/>
    <n v="42"/>
  </r>
  <r>
    <x v="17"/>
    <x v="35"/>
    <x v="3"/>
    <n v="1.77"/>
    <n v="92.21"/>
    <n v="0.01"/>
    <n v="0"/>
    <n v="521"/>
    <n v="43"/>
  </r>
  <r>
    <x v="17"/>
    <x v="31"/>
    <x v="3"/>
    <n v="1.45"/>
    <n v="455.61"/>
    <n v="0.01"/>
    <n v="0.02"/>
    <n v="3142"/>
    <n v="44"/>
  </r>
  <r>
    <x v="17"/>
    <x v="36"/>
    <x v="3"/>
    <n v="1.44"/>
    <n v="425.74"/>
    <n v="0.01"/>
    <n v="0.02"/>
    <n v="2957"/>
    <n v="45"/>
  </r>
  <r>
    <x v="17"/>
    <x v="46"/>
    <x v="3"/>
    <n v="1.31"/>
    <n v="472.46"/>
    <n v="0.01"/>
    <n v="0.02"/>
    <n v="3607"/>
    <n v="46"/>
  </r>
  <r>
    <x v="17"/>
    <x v="43"/>
    <x v="3"/>
    <n v="1.25"/>
    <n v="148.32"/>
    <n v="0.01"/>
    <n v="0.01"/>
    <n v="1187"/>
    <n v="47"/>
  </r>
  <r>
    <x v="17"/>
    <x v="33"/>
    <x v="3"/>
    <n v="1.23"/>
    <n v="21.55"/>
    <n v="0.01"/>
    <n v="0"/>
    <n v="175"/>
    <n v="48"/>
  </r>
  <r>
    <x v="17"/>
    <x v="47"/>
    <x v="3"/>
    <n v="1.17"/>
    <n v="197.23"/>
    <n v="0.01"/>
    <n v="0.01"/>
    <n v="1686"/>
    <n v="49"/>
  </r>
  <r>
    <x v="17"/>
    <x v="61"/>
    <x v="3"/>
    <n v="0.96"/>
    <n v="277.82"/>
    <n v="0"/>
    <n v="0.01"/>
    <n v="2894"/>
    <n v="50"/>
  </r>
  <r>
    <x v="17"/>
    <x v="45"/>
    <x v="3"/>
    <n v="0.85"/>
    <n v="277.08"/>
    <n v="0"/>
    <n v="0.01"/>
    <n v="3260"/>
    <n v="51"/>
  </r>
  <r>
    <x v="17"/>
    <x v="40"/>
    <x v="3"/>
    <n v="0.84"/>
    <n v="241.03"/>
    <n v="0"/>
    <n v="0.01"/>
    <n v="2869"/>
    <n v="52"/>
  </r>
  <r>
    <x v="17"/>
    <x v="41"/>
    <x v="3"/>
    <n v="0.84"/>
    <n v="266.22000000000003"/>
    <n v="0"/>
    <n v="0.01"/>
    <n v="3169"/>
    <n v="52"/>
  </r>
  <r>
    <x v="17"/>
    <x v="70"/>
    <x v="3"/>
    <n v="0.77"/>
    <n v="72.69"/>
    <n v="0"/>
    <n v="0"/>
    <n v="944"/>
    <n v="54"/>
  </r>
  <r>
    <x v="17"/>
    <x v="48"/>
    <x v="3"/>
    <n v="0.71"/>
    <n v="82.45"/>
    <n v="0"/>
    <n v="0"/>
    <n v="1161"/>
    <n v="55"/>
  </r>
  <r>
    <x v="17"/>
    <x v="81"/>
    <x v="3"/>
    <n v="0.67"/>
    <n v="58.61"/>
    <n v="0"/>
    <n v="0"/>
    <n v="875"/>
    <n v="56"/>
  </r>
  <r>
    <x v="17"/>
    <x v="88"/>
    <x v="3"/>
    <n v="0.63"/>
    <n v="19.07"/>
    <n v="0"/>
    <n v="0"/>
    <n v="303"/>
    <n v="57"/>
  </r>
  <r>
    <x v="17"/>
    <x v="51"/>
    <x v="3"/>
    <n v="0.56999999999999995"/>
    <n v="161.22"/>
    <n v="0"/>
    <n v="0.01"/>
    <n v="2828"/>
    <n v="58"/>
  </r>
  <r>
    <x v="17"/>
    <x v="67"/>
    <x v="3"/>
    <n v="0.56999999999999995"/>
    <n v="684.4"/>
    <n v="0"/>
    <n v="0.03"/>
    <n v="12007"/>
    <n v="58"/>
  </r>
  <r>
    <x v="17"/>
    <x v="42"/>
    <x v="3"/>
    <n v="0.55000000000000004"/>
    <n v="205.24"/>
    <n v="0"/>
    <n v="0.01"/>
    <n v="3732"/>
    <n v="60"/>
  </r>
  <r>
    <x v="17"/>
    <x v="44"/>
    <x v="3"/>
    <n v="0.52"/>
    <n v="51.55"/>
    <n v="0"/>
    <n v="0"/>
    <n v="991"/>
    <n v="61"/>
  </r>
  <r>
    <x v="17"/>
    <x v="69"/>
    <x v="3"/>
    <n v="0.48"/>
    <n v="38.44"/>
    <n v="0"/>
    <n v="0"/>
    <n v="801"/>
    <n v="62"/>
  </r>
  <r>
    <x v="17"/>
    <x v="37"/>
    <x v="3"/>
    <n v="0.47"/>
    <n v="165.55"/>
    <n v="0"/>
    <n v="0.01"/>
    <n v="3522"/>
    <n v="63"/>
  </r>
  <r>
    <x v="17"/>
    <x v="64"/>
    <x v="3"/>
    <n v="0.47"/>
    <n v="33.53"/>
    <n v="0"/>
    <n v="0"/>
    <n v="713"/>
    <n v="63"/>
  </r>
  <r>
    <x v="17"/>
    <x v="54"/>
    <x v="3"/>
    <n v="0.46"/>
    <n v="109.71"/>
    <n v="0"/>
    <n v="0"/>
    <n v="2385"/>
    <n v="65"/>
  </r>
  <r>
    <x v="17"/>
    <x v="80"/>
    <x v="3"/>
    <n v="0.39"/>
    <n v="35.08"/>
    <n v="0"/>
    <n v="0"/>
    <n v="899"/>
    <n v="66"/>
  </r>
  <r>
    <x v="17"/>
    <x v="76"/>
    <x v="3"/>
    <n v="0.35"/>
    <n v="38.36"/>
    <n v="0"/>
    <n v="0"/>
    <n v="1096"/>
    <n v="67"/>
  </r>
  <r>
    <x v="17"/>
    <x v="52"/>
    <x v="3"/>
    <n v="0.28999999999999998"/>
    <n v="101.76"/>
    <n v="0"/>
    <n v="0"/>
    <n v="3509"/>
    <n v="68"/>
  </r>
  <r>
    <x v="17"/>
    <x v="56"/>
    <x v="3"/>
    <n v="0.26"/>
    <n v="89.73"/>
    <n v="0"/>
    <n v="0"/>
    <n v="3451"/>
    <n v="69"/>
  </r>
  <r>
    <x v="17"/>
    <x v="55"/>
    <x v="3"/>
    <n v="0.26"/>
    <n v="63.38"/>
    <n v="0"/>
    <n v="0"/>
    <n v="2438"/>
    <n v="69"/>
  </r>
  <r>
    <x v="17"/>
    <x v="60"/>
    <x v="3"/>
    <n v="0.19"/>
    <n v="94.62"/>
    <n v="0"/>
    <n v="0"/>
    <n v="4980"/>
    <n v="71"/>
  </r>
  <r>
    <x v="17"/>
    <x v="84"/>
    <x v="3"/>
    <n v="0.19"/>
    <n v="30.31"/>
    <n v="0"/>
    <n v="0"/>
    <n v="1595"/>
    <n v="71"/>
  </r>
  <r>
    <x v="17"/>
    <x v="94"/>
    <x v="3"/>
    <n v="0.19"/>
    <n v="23.54"/>
    <n v="0"/>
    <n v="0"/>
    <n v="1239"/>
    <n v="71"/>
  </r>
  <r>
    <x v="17"/>
    <x v="66"/>
    <x v="3"/>
    <n v="0.19"/>
    <n v="6.55"/>
    <n v="0"/>
    <n v="0"/>
    <n v="345"/>
    <n v="71"/>
  </r>
  <r>
    <x v="17"/>
    <x v="57"/>
    <x v="3"/>
    <n v="0.19"/>
    <n v="8.16"/>
    <n v="0"/>
    <n v="0"/>
    <n v="429"/>
    <n v="71"/>
  </r>
  <r>
    <x v="17"/>
    <x v="90"/>
    <x v="3"/>
    <n v="0.14000000000000001"/>
    <n v="14.73"/>
    <n v="0"/>
    <n v="0"/>
    <n v="1052"/>
    <n v="76"/>
  </r>
  <r>
    <x v="17"/>
    <x v="68"/>
    <x v="3"/>
    <n v="0.13"/>
    <n v="46.09"/>
    <n v="0"/>
    <n v="0"/>
    <n v="3545"/>
    <n v="77"/>
  </r>
  <r>
    <x v="17"/>
    <x v="53"/>
    <x v="3"/>
    <n v="0.12"/>
    <n v="37.83"/>
    <n v="0"/>
    <n v="0"/>
    <n v="3153"/>
    <n v="78"/>
  </r>
  <r>
    <x v="17"/>
    <x v="86"/>
    <x v="3"/>
    <n v="0.12"/>
    <n v="10.68"/>
    <n v="0"/>
    <n v="0"/>
    <n v="890"/>
    <n v="78"/>
  </r>
  <r>
    <x v="17"/>
    <x v="63"/>
    <x v="3"/>
    <n v="0.1"/>
    <n v="39"/>
    <n v="0"/>
    <n v="0"/>
    <n v="3900"/>
    <n v="80"/>
  </r>
  <r>
    <x v="17"/>
    <x v="62"/>
    <x v="3"/>
    <n v="0.08"/>
    <n v="28.59"/>
    <n v="0"/>
    <n v="0"/>
    <n v="3574"/>
    <n v="81"/>
  </r>
  <r>
    <x v="17"/>
    <x v="77"/>
    <x v="3"/>
    <n v="0.08"/>
    <n v="7.5"/>
    <n v="0"/>
    <n v="0"/>
    <n v="938"/>
    <n v="81"/>
  </r>
  <r>
    <x v="17"/>
    <x v="83"/>
    <x v="3"/>
    <n v="0.06"/>
    <n v="22.32"/>
    <n v="0"/>
    <n v="0"/>
    <n v="3720"/>
    <n v="83"/>
  </r>
  <r>
    <x v="17"/>
    <x v="72"/>
    <x v="3"/>
    <n v="0.06"/>
    <n v="16.45"/>
    <n v="0"/>
    <n v="0"/>
    <n v="2742"/>
    <n v="83"/>
  </r>
  <r>
    <x v="17"/>
    <x v="93"/>
    <x v="3"/>
    <n v="0.05"/>
    <n v="3.78"/>
    <n v="0"/>
    <n v="0"/>
    <n v="756"/>
    <n v="85"/>
  </r>
  <r>
    <x v="17"/>
    <x v="92"/>
    <x v="3"/>
    <n v="0.05"/>
    <n v="2.96"/>
    <n v="0"/>
    <n v="0"/>
    <n v="592"/>
    <n v="85"/>
  </r>
  <r>
    <x v="17"/>
    <x v="58"/>
    <x v="3"/>
    <n v="0.05"/>
    <n v="3.72"/>
    <n v="0"/>
    <n v="0"/>
    <n v="744"/>
    <n v="85"/>
  </r>
  <r>
    <x v="17"/>
    <x v="85"/>
    <x v="3"/>
    <n v="0.05"/>
    <n v="11.21"/>
    <n v="0"/>
    <n v="0"/>
    <n v="2242"/>
    <n v="85"/>
  </r>
  <r>
    <x v="17"/>
    <x v="95"/>
    <x v="3"/>
    <n v="0.04"/>
    <n v="8.3699999999999992"/>
    <n v="0"/>
    <n v="0"/>
    <n v="2093"/>
    <n v="89"/>
  </r>
  <r>
    <x v="17"/>
    <x v="96"/>
    <x v="3"/>
    <n v="0.03"/>
    <n v="2.0099999999999998"/>
    <n v="0"/>
    <n v="0"/>
    <n v="670"/>
    <n v="90"/>
  </r>
  <r>
    <x v="17"/>
    <x v="71"/>
    <x v="3"/>
    <n v="0.03"/>
    <n v="12.71"/>
    <n v="0"/>
    <n v="0"/>
    <n v="4237"/>
    <n v="90"/>
  </r>
  <r>
    <x v="18"/>
    <x v="0"/>
    <x v="0"/>
    <n v="10503.81"/>
    <n v="1448286.63"/>
    <n v="46.39"/>
    <n v="49.05"/>
    <n v="1379"/>
    <n v="1"/>
  </r>
  <r>
    <x v="18"/>
    <x v="1"/>
    <x v="1"/>
    <n v="7535.71"/>
    <n v="999480.47"/>
    <n v="33.28"/>
    <n v="33.85"/>
    <n v="1326"/>
    <n v="2"/>
  </r>
  <r>
    <x v="18"/>
    <x v="2"/>
    <x v="2"/>
    <n v="1770"/>
    <n v="192610.34"/>
    <n v="7.82"/>
    <n v="6.52"/>
    <n v="1088"/>
    <n v="3"/>
  </r>
  <r>
    <x v="18"/>
    <x v="4"/>
    <x v="3"/>
    <n v="790.34"/>
    <n v="43044.76"/>
    <n v="3.49"/>
    <n v="1.46"/>
    <n v="545"/>
    <n v="4"/>
  </r>
  <r>
    <x v="18"/>
    <x v="14"/>
    <x v="3"/>
    <n v="341.24"/>
    <n v="14788.83"/>
    <n v="1.51"/>
    <n v="0.5"/>
    <n v="433"/>
    <n v="5"/>
  </r>
  <r>
    <x v="18"/>
    <x v="13"/>
    <x v="3"/>
    <n v="202.44"/>
    <n v="24718.799999999999"/>
    <n v="0.89"/>
    <n v="0.84"/>
    <n v="1221"/>
    <n v="6"/>
  </r>
  <r>
    <x v="18"/>
    <x v="7"/>
    <x v="3"/>
    <n v="168.6"/>
    <n v="2250.14"/>
    <n v="0.74"/>
    <n v="0.08"/>
    <n v="133"/>
    <n v="7"/>
  </r>
  <r>
    <x v="18"/>
    <x v="3"/>
    <x v="3"/>
    <n v="163.19999999999999"/>
    <n v="62029.55"/>
    <n v="0.72"/>
    <n v="2.1"/>
    <n v="3801"/>
    <n v="8"/>
  </r>
  <r>
    <x v="18"/>
    <x v="5"/>
    <x v="3"/>
    <n v="135.4"/>
    <n v="13180.82"/>
    <n v="0.6"/>
    <n v="0.45"/>
    <n v="973"/>
    <n v="9"/>
  </r>
  <r>
    <x v="18"/>
    <x v="9"/>
    <x v="3"/>
    <n v="130.74"/>
    <n v="9917.41"/>
    <n v="0.57999999999999996"/>
    <n v="0.34"/>
    <n v="759"/>
    <n v="10"/>
  </r>
  <r>
    <x v="18"/>
    <x v="10"/>
    <x v="3"/>
    <n v="114.66"/>
    <n v="13890.06"/>
    <n v="0.51"/>
    <n v="0.47"/>
    <n v="1211"/>
    <n v="11"/>
  </r>
  <r>
    <x v="18"/>
    <x v="6"/>
    <x v="3"/>
    <n v="87.58"/>
    <n v="10534.95"/>
    <n v="0.39"/>
    <n v="0.36"/>
    <n v="1203"/>
    <n v="12"/>
  </r>
  <r>
    <x v="18"/>
    <x v="16"/>
    <x v="3"/>
    <n v="78.739999999999995"/>
    <n v="9239.68"/>
    <n v="0.35"/>
    <n v="0.31"/>
    <n v="1173"/>
    <n v="13"/>
  </r>
  <r>
    <x v="18"/>
    <x v="11"/>
    <x v="3"/>
    <n v="76.89"/>
    <n v="16702.59"/>
    <n v="0.34"/>
    <n v="0.56999999999999995"/>
    <n v="2172"/>
    <n v="14"/>
  </r>
  <r>
    <x v="18"/>
    <x v="20"/>
    <x v="3"/>
    <n v="50.24"/>
    <n v="4795.55"/>
    <n v="0.22"/>
    <n v="0.16"/>
    <n v="955"/>
    <n v="15"/>
  </r>
  <r>
    <x v="18"/>
    <x v="8"/>
    <x v="3"/>
    <n v="46.71"/>
    <n v="21360.03"/>
    <n v="0.21"/>
    <n v="0.72"/>
    <n v="4573"/>
    <n v="16"/>
  </r>
  <r>
    <x v="18"/>
    <x v="22"/>
    <x v="3"/>
    <n v="45.7"/>
    <n v="3628.73"/>
    <n v="0.2"/>
    <n v="0.12"/>
    <n v="794"/>
    <n v="17"/>
  </r>
  <r>
    <x v="18"/>
    <x v="12"/>
    <x v="3"/>
    <n v="43.29"/>
    <n v="7539.4"/>
    <n v="0.19"/>
    <n v="0.26"/>
    <n v="1742"/>
    <n v="18"/>
  </r>
  <r>
    <x v="18"/>
    <x v="24"/>
    <x v="3"/>
    <n v="19.510000000000002"/>
    <n v="2107.0700000000002"/>
    <n v="0.09"/>
    <n v="7.0000000000000007E-2"/>
    <n v="1080"/>
    <n v="19"/>
  </r>
  <r>
    <x v="18"/>
    <x v="15"/>
    <x v="3"/>
    <n v="18.79"/>
    <n v="1618.22"/>
    <n v="0.08"/>
    <n v="0.05"/>
    <n v="861"/>
    <n v="20"/>
  </r>
  <r>
    <x v="18"/>
    <x v="21"/>
    <x v="3"/>
    <n v="18.16"/>
    <n v="5471.02"/>
    <n v="0.08"/>
    <n v="0.19"/>
    <n v="3013"/>
    <n v="21"/>
  </r>
  <r>
    <x v="18"/>
    <x v="17"/>
    <x v="3"/>
    <n v="16.399999999999999"/>
    <n v="12851.64"/>
    <n v="7.0000000000000007E-2"/>
    <n v="0.44"/>
    <n v="7836"/>
    <n v="22"/>
  </r>
  <r>
    <x v="18"/>
    <x v="19"/>
    <x v="3"/>
    <n v="13.67"/>
    <n v="2879.05"/>
    <n v="0.06"/>
    <n v="0.1"/>
    <n v="2106"/>
    <n v="23"/>
  </r>
  <r>
    <x v="18"/>
    <x v="34"/>
    <x v="3"/>
    <n v="11.39"/>
    <n v="4560.53"/>
    <n v="0.05"/>
    <n v="0.15"/>
    <n v="4004"/>
    <n v="24"/>
  </r>
  <r>
    <x v="18"/>
    <x v="23"/>
    <x v="3"/>
    <n v="11"/>
    <n v="743.38"/>
    <n v="0.05"/>
    <n v="0.03"/>
    <n v="676"/>
    <n v="25"/>
  </r>
  <r>
    <x v="18"/>
    <x v="29"/>
    <x v="3"/>
    <n v="7.77"/>
    <n v="509.61"/>
    <n v="0.03"/>
    <n v="0.02"/>
    <n v="656"/>
    <n v="26"/>
  </r>
  <r>
    <x v="18"/>
    <x v="25"/>
    <x v="3"/>
    <n v="7.43"/>
    <n v="2175.75"/>
    <n v="0.03"/>
    <n v="7.0000000000000007E-2"/>
    <n v="2928"/>
    <n v="27"/>
  </r>
  <r>
    <x v="18"/>
    <x v="32"/>
    <x v="3"/>
    <n v="7.38"/>
    <n v="571.1"/>
    <n v="0.03"/>
    <n v="0.02"/>
    <n v="774"/>
    <n v="28"/>
  </r>
  <r>
    <x v="18"/>
    <x v="26"/>
    <x v="3"/>
    <n v="5.7"/>
    <n v="944.9"/>
    <n v="0.03"/>
    <n v="0.03"/>
    <n v="1658"/>
    <n v="29"/>
  </r>
  <r>
    <x v="18"/>
    <x v="27"/>
    <x v="3"/>
    <n v="5.08"/>
    <n v="875.42"/>
    <n v="0.02"/>
    <n v="0.03"/>
    <n v="1723"/>
    <n v="30"/>
  </r>
  <r>
    <x v="18"/>
    <x v="82"/>
    <x v="3"/>
    <n v="4.0199999999999996"/>
    <n v="1328.44"/>
    <n v="0.02"/>
    <n v="0.04"/>
    <n v="3305"/>
    <n v="31"/>
  </r>
  <r>
    <x v="18"/>
    <x v="79"/>
    <x v="3"/>
    <n v="3.82"/>
    <n v="244.73"/>
    <n v="0.02"/>
    <n v="0.01"/>
    <n v="641"/>
    <n v="32"/>
  </r>
  <r>
    <x v="18"/>
    <x v="89"/>
    <x v="3"/>
    <n v="3.68"/>
    <n v="179.15"/>
    <n v="0.02"/>
    <n v="0.01"/>
    <n v="487"/>
    <n v="33"/>
  </r>
  <r>
    <x v="18"/>
    <x v="28"/>
    <x v="3"/>
    <n v="3.65"/>
    <n v="1041.6400000000001"/>
    <n v="0.02"/>
    <n v="0.04"/>
    <n v="2854"/>
    <n v="34"/>
  </r>
  <r>
    <x v="18"/>
    <x v="38"/>
    <x v="3"/>
    <n v="3.08"/>
    <n v="489.39"/>
    <n v="0.01"/>
    <n v="0.02"/>
    <n v="1589"/>
    <n v="35"/>
  </r>
  <r>
    <x v="18"/>
    <x v="49"/>
    <x v="3"/>
    <n v="2.79"/>
    <n v="500.02"/>
    <n v="0.01"/>
    <n v="0.02"/>
    <n v="1792"/>
    <n v="36"/>
  </r>
  <r>
    <x v="18"/>
    <x v="50"/>
    <x v="3"/>
    <n v="2.78"/>
    <n v="13.52"/>
    <n v="0.01"/>
    <n v="0"/>
    <n v="49"/>
    <n v="37"/>
  </r>
  <r>
    <x v="18"/>
    <x v="18"/>
    <x v="3"/>
    <n v="2.69"/>
    <n v="124.89"/>
    <n v="0.01"/>
    <n v="0"/>
    <n v="464"/>
    <n v="38"/>
  </r>
  <r>
    <x v="18"/>
    <x v="65"/>
    <x v="3"/>
    <n v="2.62"/>
    <n v="247.83"/>
    <n v="0.01"/>
    <n v="0.01"/>
    <n v="946"/>
    <n v="39"/>
  </r>
  <r>
    <x v="18"/>
    <x v="35"/>
    <x v="3"/>
    <n v="1.94"/>
    <n v="101.77"/>
    <n v="0.01"/>
    <n v="0"/>
    <n v="525"/>
    <n v="40"/>
  </r>
  <r>
    <x v="18"/>
    <x v="75"/>
    <x v="3"/>
    <n v="1.92"/>
    <n v="330.74"/>
    <n v="0.01"/>
    <n v="0.01"/>
    <n v="1723"/>
    <n v="41"/>
  </r>
  <r>
    <x v="18"/>
    <x v="31"/>
    <x v="3"/>
    <n v="1.69"/>
    <n v="511.01"/>
    <n v="0.01"/>
    <n v="0.02"/>
    <n v="3024"/>
    <n v="42"/>
  </r>
  <r>
    <x v="18"/>
    <x v="39"/>
    <x v="3"/>
    <n v="1.66"/>
    <n v="28.46"/>
    <n v="0.01"/>
    <n v="0"/>
    <n v="171"/>
    <n v="43"/>
  </r>
  <r>
    <x v="18"/>
    <x v="36"/>
    <x v="3"/>
    <n v="1.65"/>
    <n v="510.66"/>
    <n v="0.01"/>
    <n v="0.02"/>
    <n v="3095"/>
    <n v="44"/>
  </r>
  <r>
    <x v="18"/>
    <x v="30"/>
    <x v="3"/>
    <n v="1.61"/>
    <n v="442.44"/>
    <n v="0.01"/>
    <n v="0.01"/>
    <n v="2748"/>
    <n v="45"/>
  </r>
  <r>
    <x v="18"/>
    <x v="43"/>
    <x v="3"/>
    <n v="1.55"/>
    <n v="186.24"/>
    <n v="0.01"/>
    <n v="0.01"/>
    <n v="1202"/>
    <n v="46"/>
  </r>
  <r>
    <x v="18"/>
    <x v="46"/>
    <x v="3"/>
    <n v="1.49"/>
    <n v="539.13"/>
    <n v="0.01"/>
    <n v="0.02"/>
    <n v="3618"/>
    <n v="47"/>
  </r>
  <r>
    <x v="18"/>
    <x v="33"/>
    <x v="3"/>
    <n v="1.34"/>
    <n v="25.98"/>
    <n v="0.01"/>
    <n v="0"/>
    <n v="194"/>
    <n v="48"/>
  </r>
  <r>
    <x v="18"/>
    <x v="47"/>
    <x v="3"/>
    <n v="1.21"/>
    <n v="208.26"/>
    <n v="0.01"/>
    <n v="0.01"/>
    <n v="1721"/>
    <n v="49"/>
  </r>
  <r>
    <x v="18"/>
    <x v="70"/>
    <x v="3"/>
    <n v="1.21"/>
    <n v="113.58"/>
    <n v="0.01"/>
    <n v="0"/>
    <n v="939"/>
    <n v="49"/>
  </r>
  <r>
    <x v="18"/>
    <x v="40"/>
    <x v="3"/>
    <n v="1"/>
    <n v="302.43"/>
    <n v="0"/>
    <n v="0.01"/>
    <n v="3024"/>
    <n v="51"/>
  </r>
  <r>
    <x v="18"/>
    <x v="45"/>
    <x v="3"/>
    <n v="0.97"/>
    <n v="316.74"/>
    <n v="0"/>
    <n v="0.01"/>
    <n v="3265"/>
    <n v="52"/>
  </r>
  <r>
    <x v="18"/>
    <x v="41"/>
    <x v="3"/>
    <n v="0.91"/>
    <n v="303.5"/>
    <n v="0"/>
    <n v="0.01"/>
    <n v="3335"/>
    <n v="53"/>
  </r>
  <r>
    <x v="18"/>
    <x v="88"/>
    <x v="3"/>
    <n v="0.82"/>
    <n v="24.98"/>
    <n v="0"/>
    <n v="0"/>
    <n v="305"/>
    <n v="54"/>
  </r>
  <r>
    <x v="18"/>
    <x v="81"/>
    <x v="3"/>
    <n v="0.76"/>
    <n v="65.400000000000006"/>
    <n v="0"/>
    <n v="0"/>
    <n v="861"/>
    <n v="55"/>
  </r>
  <r>
    <x v="18"/>
    <x v="44"/>
    <x v="3"/>
    <n v="0.71"/>
    <n v="65.290000000000006"/>
    <n v="0"/>
    <n v="0"/>
    <n v="920"/>
    <n v="56"/>
  </r>
  <r>
    <x v="18"/>
    <x v="51"/>
    <x v="3"/>
    <n v="0.63"/>
    <n v="179.36"/>
    <n v="0"/>
    <n v="0.01"/>
    <n v="2847"/>
    <n v="57"/>
  </r>
  <r>
    <x v="18"/>
    <x v="67"/>
    <x v="3"/>
    <n v="0.61"/>
    <n v="764.55"/>
    <n v="0"/>
    <n v="0.03"/>
    <n v="12534"/>
    <n v="58"/>
  </r>
  <r>
    <x v="18"/>
    <x v="69"/>
    <x v="3"/>
    <n v="0.6"/>
    <n v="53.47"/>
    <n v="0"/>
    <n v="0"/>
    <n v="891"/>
    <n v="59"/>
  </r>
  <r>
    <x v="18"/>
    <x v="42"/>
    <x v="3"/>
    <n v="0.57999999999999996"/>
    <n v="220.76"/>
    <n v="0"/>
    <n v="0.01"/>
    <n v="3806"/>
    <n v="60"/>
  </r>
  <r>
    <x v="18"/>
    <x v="48"/>
    <x v="3"/>
    <n v="0.55000000000000004"/>
    <n v="73.760000000000005"/>
    <n v="0"/>
    <n v="0"/>
    <n v="1341"/>
    <n v="61"/>
  </r>
  <r>
    <x v="18"/>
    <x v="64"/>
    <x v="3"/>
    <n v="0.54"/>
    <n v="33.28"/>
    <n v="0"/>
    <n v="0"/>
    <n v="616"/>
    <n v="62"/>
  </r>
  <r>
    <x v="18"/>
    <x v="54"/>
    <x v="3"/>
    <n v="0.51"/>
    <n v="141.43"/>
    <n v="0"/>
    <n v="0"/>
    <n v="2773"/>
    <n v="63"/>
  </r>
  <r>
    <x v="18"/>
    <x v="37"/>
    <x v="3"/>
    <n v="0.5"/>
    <n v="186.01"/>
    <n v="0"/>
    <n v="0.01"/>
    <n v="3720"/>
    <n v="64"/>
  </r>
  <r>
    <x v="18"/>
    <x v="80"/>
    <x v="3"/>
    <n v="0.45"/>
    <n v="39.06"/>
    <n v="0"/>
    <n v="0"/>
    <n v="868"/>
    <n v="65"/>
  </r>
  <r>
    <x v="18"/>
    <x v="94"/>
    <x v="3"/>
    <n v="0.33"/>
    <n v="38.42"/>
    <n v="0"/>
    <n v="0"/>
    <n v="1164"/>
    <n v="66"/>
  </r>
  <r>
    <x v="18"/>
    <x v="56"/>
    <x v="3"/>
    <n v="0.33"/>
    <n v="118.47"/>
    <n v="0"/>
    <n v="0"/>
    <n v="3590"/>
    <n v="66"/>
  </r>
  <r>
    <x v="18"/>
    <x v="52"/>
    <x v="3"/>
    <n v="0.31"/>
    <n v="90.6"/>
    <n v="0"/>
    <n v="0"/>
    <n v="2923"/>
    <n v="68"/>
  </r>
  <r>
    <x v="18"/>
    <x v="61"/>
    <x v="3"/>
    <n v="0.27"/>
    <n v="210.13"/>
    <n v="0"/>
    <n v="0.01"/>
    <n v="7783"/>
    <n v="69"/>
  </r>
  <r>
    <x v="18"/>
    <x v="60"/>
    <x v="3"/>
    <n v="0.23"/>
    <n v="114.74"/>
    <n v="0"/>
    <n v="0"/>
    <n v="4989"/>
    <n v="70"/>
  </r>
  <r>
    <x v="18"/>
    <x v="55"/>
    <x v="3"/>
    <n v="0.22"/>
    <n v="60.16"/>
    <n v="0"/>
    <n v="0"/>
    <n v="2735"/>
    <n v="71"/>
  </r>
  <r>
    <x v="18"/>
    <x v="84"/>
    <x v="3"/>
    <n v="0.22"/>
    <n v="35.03"/>
    <n v="0"/>
    <n v="0"/>
    <n v="1592"/>
    <n v="71"/>
  </r>
  <r>
    <x v="18"/>
    <x v="57"/>
    <x v="3"/>
    <n v="0.19"/>
    <n v="8.9499999999999993"/>
    <n v="0"/>
    <n v="0"/>
    <n v="471"/>
    <n v="73"/>
  </r>
  <r>
    <x v="18"/>
    <x v="66"/>
    <x v="3"/>
    <n v="0.18"/>
    <n v="6.33"/>
    <n v="0"/>
    <n v="0"/>
    <n v="352"/>
    <n v="74"/>
  </r>
  <r>
    <x v="18"/>
    <x v="68"/>
    <x v="3"/>
    <n v="0.14000000000000001"/>
    <n v="51.74"/>
    <n v="0"/>
    <n v="0"/>
    <n v="3696"/>
    <n v="75"/>
  </r>
  <r>
    <x v="18"/>
    <x v="90"/>
    <x v="3"/>
    <n v="0.14000000000000001"/>
    <n v="14.32"/>
    <n v="0"/>
    <n v="0"/>
    <n v="1023"/>
    <n v="75"/>
  </r>
  <r>
    <x v="18"/>
    <x v="86"/>
    <x v="3"/>
    <n v="0.11"/>
    <n v="10.23"/>
    <n v="0"/>
    <n v="0"/>
    <n v="930"/>
    <n v="77"/>
  </r>
  <r>
    <x v="18"/>
    <x v="63"/>
    <x v="3"/>
    <n v="0.11"/>
    <n v="45.11"/>
    <n v="0"/>
    <n v="0"/>
    <n v="4101"/>
    <n v="77"/>
  </r>
  <r>
    <x v="18"/>
    <x v="62"/>
    <x v="3"/>
    <n v="0.11"/>
    <n v="33.64"/>
    <n v="0"/>
    <n v="0"/>
    <n v="3058"/>
    <n v="77"/>
  </r>
  <r>
    <x v="18"/>
    <x v="76"/>
    <x v="3"/>
    <n v="0.1"/>
    <n v="11.52"/>
    <n v="0"/>
    <n v="0"/>
    <n v="1152"/>
    <n v="80"/>
  </r>
  <r>
    <x v="18"/>
    <x v="53"/>
    <x v="3"/>
    <n v="0.1"/>
    <n v="33.630000000000003"/>
    <n v="0"/>
    <n v="0"/>
    <n v="3363"/>
    <n v="80"/>
  </r>
  <r>
    <x v="18"/>
    <x v="77"/>
    <x v="3"/>
    <n v="0.08"/>
    <n v="7.18"/>
    <n v="0"/>
    <n v="0"/>
    <n v="898"/>
    <n v="82"/>
  </r>
  <r>
    <x v="18"/>
    <x v="83"/>
    <x v="3"/>
    <n v="0.08"/>
    <n v="30.38"/>
    <n v="0"/>
    <n v="0"/>
    <n v="3798"/>
    <n v="82"/>
  </r>
  <r>
    <x v="18"/>
    <x v="72"/>
    <x v="3"/>
    <n v="7.0000000000000007E-2"/>
    <n v="19.579999999999998"/>
    <n v="0"/>
    <n v="0"/>
    <n v="2797"/>
    <n v="84"/>
  </r>
  <r>
    <x v="18"/>
    <x v="92"/>
    <x v="3"/>
    <n v="0.06"/>
    <n v="3.89"/>
    <n v="0"/>
    <n v="0"/>
    <n v="648"/>
    <n v="85"/>
  </r>
  <r>
    <x v="18"/>
    <x v="95"/>
    <x v="3"/>
    <n v="0.06"/>
    <n v="10.78"/>
    <n v="0"/>
    <n v="0"/>
    <n v="1797"/>
    <n v="85"/>
  </r>
  <r>
    <x v="18"/>
    <x v="85"/>
    <x v="3"/>
    <n v="0.06"/>
    <n v="15.04"/>
    <n v="0"/>
    <n v="0"/>
    <n v="2507"/>
    <n v="85"/>
  </r>
  <r>
    <x v="18"/>
    <x v="58"/>
    <x v="3"/>
    <n v="0.05"/>
    <n v="3.97"/>
    <n v="0"/>
    <n v="0"/>
    <n v="794"/>
    <n v="88"/>
  </r>
  <r>
    <x v="18"/>
    <x v="93"/>
    <x v="3"/>
    <n v="0.05"/>
    <n v="4.01"/>
    <n v="0"/>
    <n v="0"/>
    <n v="802"/>
    <n v="88"/>
  </r>
  <r>
    <x v="18"/>
    <x v="96"/>
    <x v="3"/>
    <n v="0.03"/>
    <n v="2.5299999999999998"/>
    <n v="0"/>
    <n v="0"/>
    <n v="843"/>
    <n v="90"/>
  </r>
  <r>
    <x v="18"/>
    <x v="71"/>
    <x v="3"/>
    <n v="0.03"/>
    <n v="13.83"/>
    <n v="0"/>
    <n v="0"/>
    <n v="4610"/>
    <n v="90"/>
  </r>
  <r>
    <x v="19"/>
    <x v="0"/>
    <x v="0"/>
    <n v="10330.299999999999"/>
    <n v="1431722.56"/>
    <n v="46.23"/>
    <n v="49.32"/>
    <n v="1386"/>
    <n v="1"/>
  </r>
  <r>
    <x v="19"/>
    <x v="1"/>
    <x v="1"/>
    <n v="7359.44"/>
    <n v="972068.42"/>
    <n v="32.93"/>
    <n v="33.49"/>
    <n v="1321"/>
    <n v="2"/>
  </r>
  <r>
    <x v="19"/>
    <x v="2"/>
    <x v="2"/>
    <n v="1778.06"/>
    <n v="194317.77"/>
    <n v="7.96"/>
    <n v="6.69"/>
    <n v="1093"/>
    <n v="3"/>
  </r>
  <r>
    <x v="19"/>
    <x v="4"/>
    <x v="3"/>
    <n v="801.87"/>
    <n v="42683.85"/>
    <n v="3.59"/>
    <n v="1.47"/>
    <n v="532"/>
    <n v="4"/>
  </r>
  <r>
    <x v="19"/>
    <x v="14"/>
    <x v="3"/>
    <n v="369.41"/>
    <n v="16365.13"/>
    <n v="1.65"/>
    <n v="0.56000000000000005"/>
    <n v="443"/>
    <n v="5"/>
  </r>
  <r>
    <x v="19"/>
    <x v="13"/>
    <x v="3"/>
    <n v="210.17"/>
    <n v="25198.44"/>
    <n v="0.94"/>
    <n v="0.87"/>
    <n v="1199"/>
    <n v="6"/>
  </r>
  <r>
    <x v="19"/>
    <x v="7"/>
    <x v="3"/>
    <n v="182.87"/>
    <n v="2503.31"/>
    <n v="0.82"/>
    <n v="0.09"/>
    <n v="137"/>
    <n v="7"/>
  </r>
  <r>
    <x v="19"/>
    <x v="3"/>
    <x v="3"/>
    <n v="157.51"/>
    <n v="56569.08"/>
    <n v="0.7"/>
    <n v="1.95"/>
    <n v="3591"/>
    <n v="8"/>
  </r>
  <r>
    <x v="19"/>
    <x v="9"/>
    <x v="3"/>
    <n v="138.69"/>
    <n v="10498.22"/>
    <n v="0.62"/>
    <n v="0.36"/>
    <n v="757"/>
    <n v="9"/>
  </r>
  <r>
    <x v="19"/>
    <x v="5"/>
    <x v="3"/>
    <n v="125.81"/>
    <n v="10253.66"/>
    <n v="0.56000000000000005"/>
    <n v="0.35"/>
    <n v="815"/>
    <n v="10"/>
  </r>
  <r>
    <x v="19"/>
    <x v="10"/>
    <x v="3"/>
    <n v="116.19"/>
    <n v="13895.16"/>
    <n v="0.52"/>
    <n v="0.48"/>
    <n v="1196"/>
    <n v="11"/>
  </r>
  <r>
    <x v="19"/>
    <x v="6"/>
    <x v="3"/>
    <n v="83.77"/>
    <n v="10067.74"/>
    <n v="0.37"/>
    <n v="0.35"/>
    <n v="1202"/>
    <n v="12"/>
  </r>
  <r>
    <x v="19"/>
    <x v="16"/>
    <x v="3"/>
    <n v="80.16"/>
    <n v="9186.34"/>
    <n v="0.36"/>
    <n v="0.32"/>
    <n v="1146"/>
    <n v="13"/>
  </r>
  <r>
    <x v="19"/>
    <x v="11"/>
    <x v="3"/>
    <n v="66.83"/>
    <n v="16551.150000000001"/>
    <n v="0.3"/>
    <n v="0.56999999999999995"/>
    <n v="2477"/>
    <n v="14"/>
  </r>
  <r>
    <x v="19"/>
    <x v="8"/>
    <x v="3"/>
    <n v="61.96"/>
    <n v="21366.17"/>
    <n v="0.28000000000000003"/>
    <n v="0.74"/>
    <n v="3448"/>
    <n v="15"/>
  </r>
  <r>
    <x v="19"/>
    <x v="20"/>
    <x v="3"/>
    <n v="55.68"/>
    <n v="5155.9799999999996"/>
    <n v="0.25"/>
    <n v="0.18"/>
    <n v="926"/>
    <n v="16"/>
  </r>
  <r>
    <x v="19"/>
    <x v="12"/>
    <x v="3"/>
    <n v="46.52"/>
    <n v="7103.2"/>
    <n v="0.21"/>
    <n v="0.24"/>
    <n v="1527"/>
    <n v="17"/>
  </r>
  <r>
    <x v="19"/>
    <x v="22"/>
    <x v="3"/>
    <n v="26.86"/>
    <n v="3614.87"/>
    <n v="0.12"/>
    <n v="0.12"/>
    <n v="1346"/>
    <n v="18"/>
  </r>
  <r>
    <x v="19"/>
    <x v="15"/>
    <x v="3"/>
    <n v="19.71"/>
    <n v="2144.91"/>
    <n v="0.09"/>
    <n v="7.0000000000000007E-2"/>
    <n v="1088"/>
    <n v="19"/>
  </r>
  <r>
    <x v="19"/>
    <x v="21"/>
    <x v="3"/>
    <n v="19.07"/>
    <n v="5658.77"/>
    <n v="0.09"/>
    <n v="0.19"/>
    <n v="2967"/>
    <n v="20"/>
  </r>
  <r>
    <x v="19"/>
    <x v="24"/>
    <x v="3"/>
    <n v="17.190000000000001"/>
    <n v="1968.16"/>
    <n v="0.08"/>
    <n v="7.0000000000000007E-2"/>
    <n v="1145"/>
    <n v="21"/>
  </r>
  <r>
    <x v="19"/>
    <x v="17"/>
    <x v="3"/>
    <n v="14.66"/>
    <n v="12631.62"/>
    <n v="7.0000000000000007E-2"/>
    <n v="0.44"/>
    <n v="8616"/>
    <n v="22"/>
  </r>
  <r>
    <x v="19"/>
    <x v="19"/>
    <x v="3"/>
    <n v="14.39"/>
    <n v="3027.38"/>
    <n v="0.06"/>
    <n v="0.1"/>
    <n v="2104"/>
    <n v="23"/>
  </r>
  <r>
    <x v="19"/>
    <x v="85"/>
    <x v="3"/>
    <n v="12.68"/>
    <n v="1595.48"/>
    <n v="0.06"/>
    <n v="0.05"/>
    <n v="1258"/>
    <n v="24"/>
  </r>
  <r>
    <x v="19"/>
    <x v="23"/>
    <x v="3"/>
    <n v="10.82"/>
    <n v="719.62"/>
    <n v="0.05"/>
    <n v="0.02"/>
    <n v="665"/>
    <n v="25"/>
  </r>
  <r>
    <x v="19"/>
    <x v="25"/>
    <x v="3"/>
    <n v="7.83"/>
    <n v="2957.86"/>
    <n v="0.04"/>
    <n v="0.1"/>
    <n v="3778"/>
    <n v="26"/>
  </r>
  <r>
    <x v="19"/>
    <x v="29"/>
    <x v="3"/>
    <n v="7.32"/>
    <n v="471.07"/>
    <n v="0.03"/>
    <n v="0.02"/>
    <n v="644"/>
    <n v="27"/>
  </r>
  <r>
    <x v="19"/>
    <x v="89"/>
    <x v="3"/>
    <n v="7"/>
    <n v="159.16999999999999"/>
    <n v="0.03"/>
    <n v="0.01"/>
    <n v="227"/>
    <n v="28"/>
  </r>
  <r>
    <x v="19"/>
    <x v="34"/>
    <x v="3"/>
    <n v="6.91"/>
    <n v="3763.82"/>
    <n v="0.03"/>
    <n v="0.13"/>
    <n v="5447"/>
    <n v="29"/>
  </r>
  <r>
    <x v="19"/>
    <x v="32"/>
    <x v="3"/>
    <n v="6.89"/>
    <n v="579.41"/>
    <n v="0.03"/>
    <n v="0.02"/>
    <n v="841"/>
    <n v="30"/>
  </r>
  <r>
    <x v="19"/>
    <x v="26"/>
    <x v="3"/>
    <n v="5.54"/>
    <n v="914.66"/>
    <n v="0.02"/>
    <n v="0.03"/>
    <n v="1651"/>
    <n v="31"/>
  </r>
  <r>
    <x v="19"/>
    <x v="27"/>
    <x v="3"/>
    <n v="4.78"/>
    <n v="906.02"/>
    <n v="0.02"/>
    <n v="0.03"/>
    <n v="1895"/>
    <n v="32"/>
  </r>
  <r>
    <x v="19"/>
    <x v="82"/>
    <x v="3"/>
    <n v="3.88"/>
    <n v="1238.3900000000001"/>
    <n v="0.02"/>
    <n v="0.04"/>
    <n v="3192"/>
    <n v="33"/>
  </r>
  <r>
    <x v="19"/>
    <x v="38"/>
    <x v="3"/>
    <n v="3.64"/>
    <n v="514.72"/>
    <n v="0.02"/>
    <n v="0.02"/>
    <n v="1414"/>
    <n v="34"/>
  </r>
  <r>
    <x v="19"/>
    <x v="79"/>
    <x v="3"/>
    <n v="3.5"/>
    <n v="239.4"/>
    <n v="0.02"/>
    <n v="0.01"/>
    <n v="684"/>
    <n v="35"/>
  </r>
  <r>
    <x v="19"/>
    <x v="28"/>
    <x v="3"/>
    <n v="3.34"/>
    <n v="1014.38"/>
    <n v="0.01"/>
    <n v="0.03"/>
    <n v="3037"/>
    <n v="36"/>
  </r>
  <r>
    <x v="19"/>
    <x v="18"/>
    <x v="3"/>
    <n v="2.91"/>
    <n v="127.7"/>
    <n v="0.01"/>
    <n v="0"/>
    <n v="439"/>
    <n v="37"/>
  </r>
  <r>
    <x v="19"/>
    <x v="50"/>
    <x v="3"/>
    <n v="2.69"/>
    <n v="15.55"/>
    <n v="0.01"/>
    <n v="0"/>
    <n v="58"/>
    <n v="38"/>
  </r>
  <r>
    <x v="19"/>
    <x v="49"/>
    <x v="3"/>
    <n v="2.41"/>
    <n v="461.49"/>
    <n v="0.01"/>
    <n v="0.02"/>
    <n v="1915"/>
    <n v="39"/>
  </r>
  <r>
    <x v="19"/>
    <x v="65"/>
    <x v="3"/>
    <n v="2.2999999999999998"/>
    <n v="236.53"/>
    <n v="0.01"/>
    <n v="0.01"/>
    <n v="1028"/>
    <n v="40"/>
  </r>
  <r>
    <x v="19"/>
    <x v="35"/>
    <x v="3"/>
    <n v="1.94"/>
    <n v="103.45"/>
    <n v="0.01"/>
    <n v="0"/>
    <n v="533"/>
    <n v="41"/>
  </r>
  <r>
    <x v="19"/>
    <x v="31"/>
    <x v="3"/>
    <n v="1.69"/>
    <n v="508.22"/>
    <n v="0.01"/>
    <n v="0.02"/>
    <n v="3007"/>
    <n v="42"/>
  </r>
  <r>
    <x v="19"/>
    <x v="30"/>
    <x v="3"/>
    <n v="1.66"/>
    <n v="469.09"/>
    <n v="0.01"/>
    <n v="0.02"/>
    <n v="2826"/>
    <n v="43"/>
  </r>
  <r>
    <x v="19"/>
    <x v="36"/>
    <x v="3"/>
    <n v="1.62"/>
    <n v="493.97"/>
    <n v="0.01"/>
    <n v="0.02"/>
    <n v="3049"/>
    <n v="44"/>
  </r>
  <r>
    <x v="19"/>
    <x v="43"/>
    <x v="3"/>
    <n v="1.58"/>
    <n v="179.83"/>
    <n v="0.01"/>
    <n v="0.01"/>
    <n v="1138"/>
    <n v="45"/>
  </r>
  <r>
    <x v="19"/>
    <x v="46"/>
    <x v="3"/>
    <n v="1.53"/>
    <n v="556.24"/>
    <n v="0.01"/>
    <n v="0.02"/>
    <n v="3636"/>
    <n v="46"/>
  </r>
  <r>
    <x v="19"/>
    <x v="47"/>
    <x v="3"/>
    <n v="1.43"/>
    <n v="235.26"/>
    <n v="0.01"/>
    <n v="0.01"/>
    <n v="1645"/>
    <n v="47"/>
  </r>
  <r>
    <x v="19"/>
    <x v="70"/>
    <x v="3"/>
    <n v="1.37"/>
    <n v="147.19"/>
    <n v="0.01"/>
    <n v="0.01"/>
    <n v="1074"/>
    <n v="48"/>
  </r>
  <r>
    <x v="19"/>
    <x v="88"/>
    <x v="3"/>
    <n v="1.04"/>
    <n v="27.14"/>
    <n v="0"/>
    <n v="0"/>
    <n v="261"/>
    <n v="49"/>
  </r>
  <r>
    <x v="19"/>
    <x v="40"/>
    <x v="3"/>
    <n v="1.03"/>
    <n v="320.2"/>
    <n v="0"/>
    <n v="0.01"/>
    <n v="3109"/>
    <n v="50"/>
  </r>
  <r>
    <x v="19"/>
    <x v="45"/>
    <x v="3"/>
    <n v="0.99"/>
    <n v="314.38"/>
    <n v="0"/>
    <n v="0.01"/>
    <n v="3176"/>
    <n v="51"/>
  </r>
  <r>
    <x v="19"/>
    <x v="39"/>
    <x v="3"/>
    <n v="0.97"/>
    <n v="20.83"/>
    <n v="0"/>
    <n v="0"/>
    <n v="215"/>
    <n v="52"/>
  </r>
  <r>
    <x v="19"/>
    <x v="54"/>
    <x v="3"/>
    <n v="0.94"/>
    <n v="167.85"/>
    <n v="0"/>
    <n v="0.01"/>
    <n v="1786"/>
    <n v="53"/>
  </r>
  <r>
    <x v="19"/>
    <x v="41"/>
    <x v="3"/>
    <n v="0.89"/>
    <n v="289.27"/>
    <n v="0"/>
    <n v="0.01"/>
    <n v="3250"/>
    <n v="54"/>
  </r>
  <r>
    <x v="19"/>
    <x v="81"/>
    <x v="3"/>
    <n v="0.85"/>
    <n v="66.290000000000006"/>
    <n v="0"/>
    <n v="0"/>
    <n v="780"/>
    <n v="55"/>
  </r>
  <r>
    <x v="19"/>
    <x v="33"/>
    <x v="3"/>
    <n v="0.82"/>
    <n v="17.940000000000001"/>
    <n v="0"/>
    <n v="0"/>
    <n v="219"/>
    <n v="56"/>
  </r>
  <r>
    <x v="19"/>
    <x v="69"/>
    <x v="3"/>
    <n v="0.79"/>
    <n v="59.77"/>
    <n v="0"/>
    <n v="0"/>
    <n v="757"/>
    <n v="57"/>
  </r>
  <r>
    <x v="19"/>
    <x v="44"/>
    <x v="3"/>
    <n v="0.62"/>
    <n v="59.81"/>
    <n v="0"/>
    <n v="0"/>
    <n v="965"/>
    <n v="58"/>
  </r>
  <r>
    <x v="19"/>
    <x v="51"/>
    <x v="3"/>
    <n v="0.61"/>
    <n v="174.27"/>
    <n v="0"/>
    <n v="0.01"/>
    <n v="2857"/>
    <n v="59"/>
  </r>
  <r>
    <x v="19"/>
    <x v="42"/>
    <x v="3"/>
    <n v="0.55000000000000004"/>
    <n v="202.63"/>
    <n v="0"/>
    <n v="0.01"/>
    <n v="3684"/>
    <n v="60"/>
  </r>
  <r>
    <x v="19"/>
    <x v="64"/>
    <x v="3"/>
    <n v="0.55000000000000004"/>
    <n v="32.36"/>
    <n v="0"/>
    <n v="0"/>
    <n v="588"/>
    <n v="60"/>
  </r>
  <r>
    <x v="19"/>
    <x v="37"/>
    <x v="3"/>
    <n v="0.53"/>
    <n v="188.97"/>
    <n v="0"/>
    <n v="0.01"/>
    <n v="3565"/>
    <n v="62"/>
  </r>
  <r>
    <x v="19"/>
    <x v="48"/>
    <x v="3"/>
    <n v="0.53"/>
    <n v="60.6"/>
    <n v="0"/>
    <n v="0"/>
    <n v="1143"/>
    <n v="62"/>
  </r>
  <r>
    <x v="19"/>
    <x v="67"/>
    <x v="3"/>
    <n v="0.53"/>
    <n v="633.09"/>
    <n v="0"/>
    <n v="0.02"/>
    <n v="11945"/>
    <n v="62"/>
  </r>
  <r>
    <x v="19"/>
    <x v="75"/>
    <x v="3"/>
    <n v="0.49"/>
    <n v="98.1"/>
    <n v="0"/>
    <n v="0"/>
    <n v="2002"/>
    <n v="65"/>
  </r>
  <r>
    <x v="19"/>
    <x v="80"/>
    <x v="3"/>
    <n v="0.43"/>
    <n v="37.82"/>
    <n v="0"/>
    <n v="0"/>
    <n v="880"/>
    <n v="66"/>
  </r>
  <r>
    <x v="19"/>
    <x v="94"/>
    <x v="3"/>
    <n v="0.38"/>
    <n v="46.1"/>
    <n v="0"/>
    <n v="0"/>
    <n v="1213"/>
    <n v="67"/>
  </r>
  <r>
    <x v="19"/>
    <x v="52"/>
    <x v="3"/>
    <n v="0.32"/>
    <n v="91.04"/>
    <n v="0"/>
    <n v="0"/>
    <n v="2845"/>
    <n v="68"/>
  </r>
  <r>
    <x v="19"/>
    <x v="56"/>
    <x v="3"/>
    <n v="0.31"/>
    <n v="113.82"/>
    <n v="0"/>
    <n v="0"/>
    <n v="3672"/>
    <n v="69"/>
  </r>
  <r>
    <x v="19"/>
    <x v="61"/>
    <x v="3"/>
    <n v="0.28000000000000003"/>
    <n v="182.7"/>
    <n v="0"/>
    <n v="0.01"/>
    <n v="6525"/>
    <n v="70"/>
  </r>
  <r>
    <x v="19"/>
    <x v="84"/>
    <x v="3"/>
    <n v="0.24"/>
    <n v="39.68"/>
    <n v="0"/>
    <n v="0"/>
    <n v="1653"/>
    <n v="71"/>
  </r>
  <r>
    <x v="19"/>
    <x v="60"/>
    <x v="3"/>
    <n v="0.24"/>
    <n v="120.32"/>
    <n v="0"/>
    <n v="0"/>
    <n v="5013"/>
    <n v="71"/>
  </r>
  <r>
    <x v="19"/>
    <x v="55"/>
    <x v="3"/>
    <n v="0.24"/>
    <n v="62.75"/>
    <n v="0"/>
    <n v="0"/>
    <n v="2615"/>
    <n v="71"/>
  </r>
  <r>
    <x v="19"/>
    <x v="62"/>
    <x v="3"/>
    <n v="0.18"/>
    <n v="32.81"/>
    <n v="0"/>
    <n v="0"/>
    <n v="1823"/>
    <n v="74"/>
  </r>
  <r>
    <x v="19"/>
    <x v="57"/>
    <x v="3"/>
    <n v="0.16"/>
    <n v="8.09"/>
    <n v="0"/>
    <n v="0"/>
    <n v="506"/>
    <n v="75"/>
  </r>
  <r>
    <x v="19"/>
    <x v="66"/>
    <x v="3"/>
    <n v="0.16"/>
    <n v="5.61"/>
    <n v="0"/>
    <n v="0"/>
    <n v="351"/>
    <n v="75"/>
  </r>
  <r>
    <x v="19"/>
    <x v="68"/>
    <x v="3"/>
    <n v="0.13"/>
    <n v="44.7"/>
    <n v="0"/>
    <n v="0"/>
    <n v="3438"/>
    <n v="77"/>
  </r>
  <r>
    <x v="19"/>
    <x v="63"/>
    <x v="3"/>
    <n v="0.1"/>
    <n v="42.71"/>
    <n v="0"/>
    <n v="0"/>
    <n v="4271"/>
    <n v="78"/>
  </r>
  <r>
    <x v="19"/>
    <x v="53"/>
    <x v="3"/>
    <n v="0.09"/>
    <n v="32.03"/>
    <n v="0"/>
    <n v="0"/>
    <n v="3559"/>
    <n v="79"/>
  </r>
  <r>
    <x v="19"/>
    <x v="86"/>
    <x v="3"/>
    <n v="0.09"/>
    <n v="7.77"/>
    <n v="0"/>
    <n v="0"/>
    <n v="863"/>
    <n v="79"/>
  </r>
  <r>
    <x v="19"/>
    <x v="83"/>
    <x v="3"/>
    <n v="0.08"/>
    <n v="32.15"/>
    <n v="0"/>
    <n v="0"/>
    <n v="4019"/>
    <n v="81"/>
  </r>
  <r>
    <x v="19"/>
    <x v="93"/>
    <x v="3"/>
    <n v="7.0000000000000007E-2"/>
    <n v="4.92"/>
    <n v="0"/>
    <n v="0"/>
    <n v="703"/>
    <n v="82"/>
  </r>
  <r>
    <x v="19"/>
    <x v="95"/>
    <x v="3"/>
    <n v="7.0000000000000007E-2"/>
    <n v="12.46"/>
    <n v="0"/>
    <n v="0"/>
    <n v="1780"/>
    <n v="82"/>
  </r>
  <r>
    <x v="19"/>
    <x v="92"/>
    <x v="3"/>
    <n v="7.0000000000000007E-2"/>
    <n v="4.4400000000000004"/>
    <n v="0"/>
    <n v="0"/>
    <n v="634"/>
    <n v="82"/>
  </r>
  <r>
    <x v="19"/>
    <x v="72"/>
    <x v="3"/>
    <n v="0.06"/>
    <n v="17.97"/>
    <n v="0"/>
    <n v="0"/>
    <n v="2995"/>
    <n v="85"/>
  </r>
  <r>
    <x v="19"/>
    <x v="97"/>
    <x v="3"/>
    <n v="0.05"/>
    <n v="24.74"/>
    <n v="0"/>
    <n v="0"/>
    <n v="4948"/>
    <n v="86"/>
  </r>
  <r>
    <x v="19"/>
    <x v="77"/>
    <x v="3"/>
    <n v="0.05"/>
    <n v="4.4000000000000004"/>
    <n v="0"/>
    <n v="0"/>
    <n v="880"/>
    <n v="86"/>
  </r>
  <r>
    <x v="19"/>
    <x v="58"/>
    <x v="3"/>
    <n v="0.05"/>
    <n v="4.03"/>
    <n v="0"/>
    <n v="0"/>
    <n v="806"/>
    <n v="86"/>
  </r>
  <r>
    <x v="19"/>
    <x v="96"/>
    <x v="3"/>
    <n v="0.03"/>
    <n v="2.61"/>
    <n v="0"/>
    <n v="0"/>
    <n v="870"/>
    <n v="89"/>
  </r>
  <r>
    <x v="19"/>
    <x v="71"/>
    <x v="3"/>
    <n v="0.03"/>
    <n v="14.45"/>
    <n v="0"/>
    <n v="0"/>
    <n v="4817"/>
    <n v="89"/>
  </r>
  <r>
    <x v="20"/>
    <x v="0"/>
    <x v="0"/>
    <n v="10734.58"/>
    <n v="1467168.63"/>
    <n v="46.27"/>
    <n v="49.06"/>
    <n v="1367"/>
    <n v="1"/>
  </r>
  <r>
    <x v="20"/>
    <x v="1"/>
    <x v="1"/>
    <n v="7598.37"/>
    <n v="1002878.34"/>
    <n v="32.75"/>
    <n v="33.54"/>
    <n v="1320"/>
    <n v="2"/>
  </r>
  <r>
    <x v="20"/>
    <x v="2"/>
    <x v="2"/>
    <n v="1836.02"/>
    <n v="199103.37"/>
    <n v="7.91"/>
    <n v="6.66"/>
    <n v="1084"/>
    <n v="3"/>
  </r>
  <r>
    <x v="20"/>
    <x v="4"/>
    <x v="3"/>
    <n v="824.11"/>
    <n v="43601.66"/>
    <n v="3.55"/>
    <n v="1.46"/>
    <n v="529"/>
    <n v="4"/>
  </r>
  <r>
    <x v="20"/>
    <x v="14"/>
    <x v="3"/>
    <n v="418.84"/>
    <n v="19422.73"/>
    <n v="1.81"/>
    <n v="0.65"/>
    <n v="464"/>
    <n v="5"/>
  </r>
  <r>
    <x v="20"/>
    <x v="13"/>
    <x v="3"/>
    <n v="227.49"/>
    <n v="26013.59"/>
    <n v="0.98"/>
    <n v="0.87"/>
    <n v="1144"/>
    <n v="6"/>
  </r>
  <r>
    <x v="20"/>
    <x v="7"/>
    <x v="3"/>
    <n v="197.32"/>
    <n v="2738.59"/>
    <n v="0.85"/>
    <n v="0.09"/>
    <n v="139"/>
    <n v="7"/>
  </r>
  <r>
    <x v="20"/>
    <x v="3"/>
    <x v="3"/>
    <n v="157.19"/>
    <n v="61002.44"/>
    <n v="0.68"/>
    <n v="2.04"/>
    <n v="3881"/>
    <n v="8"/>
  </r>
  <r>
    <x v="20"/>
    <x v="9"/>
    <x v="3"/>
    <n v="150.43"/>
    <n v="11425.02"/>
    <n v="0.65"/>
    <n v="0.38"/>
    <n v="759"/>
    <n v="9"/>
  </r>
  <r>
    <x v="20"/>
    <x v="5"/>
    <x v="3"/>
    <n v="134.19999999999999"/>
    <n v="13185.15"/>
    <n v="0.57999999999999996"/>
    <n v="0.44"/>
    <n v="983"/>
    <n v="10"/>
  </r>
  <r>
    <x v="20"/>
    <x v="10"/>
    <x v="3"/>
    <n v="121.8"/>
    <n v="14336.15"/>
    <n v="0.52"/>
    <n v="0.48"/>
    <n v="1177"/>
    <n v="11"/>
  </r>
  <r>
    <x v="20"/>
    <x v="6"/>
    <x v="3"/>
    <n v="87.34"/>
    <n v="10634.56"/>
    <n v="0.38"/>
    <n v="0.36"/>
    <n v="1218"/>
    <n v="12"/>
  </r>
  <r>
    <x v="20"/>
    <x v="16"/>
    <x v="3"/>
    <n v="81.400000000000006"/>
    <n v="9626.57"/>
    <n v="0.35"/>
    <n v="0.32"/>
    <n v="1183"/>
    <n v="13"/>
  </r>
  <r>
    <x v="20"/>
    <x v="11"/>
    <x v="3"/>
    <n v="66.19"/>
    <n v="17328.8"/>
    <n v="0.28999999999999998"/>
    <n v="0.57999999999999996"/>
    <n v="2618"/>
    <n v="14"/>
  </r>
  <r>
    <x v="20"/>
    <x v="20"/>
    <x v="3"/>
    <n v="61.36"/>
    <n v="5558.18"/>
    <n v="0.26"/>
    <n v="0.19"/>
    <n v="906"/>
    <n v="15"/>
  </r>
  <r>
    <x v="20"/>
    <x v="12"/>
    <x v="3"/>
    <n v="49.63"/>
    <n v="7634.86"/>
    <n v="0.21"/>
    <n v="0.26"/>
    <n v="1538"/>
    <n v="16"/>
  </r>
  <r>
    <x v="20"/>
    <x v="8"/>
    <x v="3"/>
    <n v="47.89"/>
    <n v="21846"/>
    <n v="0.21"/>
    <n v="0.73"/>
    <n v="4562"/>
    <n v="17"/>
  </r>
  <r>
    <x v="20"/>
    <x v="22"/>
    <x v="3"/>
    <n v="45.93"/>
    <n v="3900.77"/>
    <n v="0.2"/>
    <n v="0.13"/>
    <n v="849"/>
    <n v="18"/>
  </r>
  <r>
    <x v="20"/>
    <x v="21"/>
    <x v="3"/>
    <n v="21.72"/>
    <n v="6042.86"/>
    <n v="0.09"/>
    <n v="0.2"/>
    <n v="2782"/>
    <n v="19"/>
  </r>
  <r>
    <x v="20"/>
    <x v="85"/>
    <x v="3"/>
    <n v="19"/>
    <n v="2651.6"/>
    <n v="0.08"/>
    <n v="0.09"/>
    <n v="1396"/>
    <n v="20"/>
  </r>
  <r>
    <x v="20"/>
    <x v="15"/>
    <x v="3"/>
    <n v="18.489999999999998"/>
    <n v="1982.99"/>
    <n v="0.08"/>
    <n v="7.0000000000000007E-2"/>
    <n v="1072"/>
    <n v="21"/>
  </r>
  <r>
    <x v="20"/>
    <x v="24"/>
    <x v="3"/>
    <n v="17.77"/>
    <n v="2010.23"/>
    <n v="0.08"/>
    <n v="7.0000000000000007E-2"/>
    <n v="1131"/>
    <n v="22"/>
  </r>
  <r>
    <x v="20"/>
    <x v="19"/>
    <x v="3"/>
    <n v="14.96"/>
    <n v="3212.14"/>
    <n v="0.06"/>
    <n v="0.11"/>
    <n v="2147"/>
    <n v="23"/>
  </r>
  <r>
    <x v="20"/>
    <x v="17"/>
    <x v="3"/>
    <n v="14.14"/>
    <n v="10781.4"/>
    <n v="0.06"/>
    <n v="0.36"/>
    <n v="7625"/>
    <n v="24"/>
  </r>
  <r>
    <x v="20"/>
    <x v="23"/>
    <x v="3"/>
    <n v="11.08"/>
    <n v="750.27"/>
    <n v="0.05"/>
    <n v="0.03"/>
    <n v="677"/>
    <n v="25"/>
  </r>
  <r>
    <x v="20"/>
    <x v="89"/>
    <x v="3"/>
    <n v="8.9"/>
    <n v="178.57"/>
    <n v="0.04"/>
    <n v="0.01"/>
    <n v="201"/>
    <n v="26"/>
  </r>
  <r>
    <x v="20"/>
    <x v="25"/>
    <x v="3"/>
    <n v="8.0500000000000007"/>
    <n v="3194.15"/>
    <n v="0.03"/>
    <n v="0.11"/>
    <n v="3968"/>
    <n v="27"/>
  </r>
  <r>
    <x v="20"/>
    <x v="29"/>
    <x v="3"/>
    <n v="7.21"/>
    <n v="464.12"/>
    <n v="0.03"/>
    <n v="0.02"/>
    <n v="644"/>
    <n v="28"/>
  </r>
  <r>
    <x v="20"/>
    <x v="32"/>
    <x v="3"/>
    <n v="6.97"/>
    <n v="668.6"/>
    <n v="0.03"/>
    <n v="0.02"/>
    <n v="959"/>
    <n v="29"/>
  </r>
  <r>
    <x v="20"/>
    <x v="26"/>
    <x v="3"/>
    <n v="5.52"/>
    <n v="943.28"/>
    <n v="0.02"/>
    <n v="0.03"/>
    <n v="1709"/>
    <n v="30"/>
  </r>
  <r>
    <x v="20"/>
    <x v="27"/>
    <x v="3"/>
    <n v="4.71"/>
    <n v="941.98"/>
    <n v="0.02"/>
    <n v="0.03"/>
    <n v="2000"/>
    <n v="31"/>
  </r>
  <r>
    <x v="20"/>
    <x v="38"/>
    <x v="3"/>
    <n v="4.3"/>
    <n v="585.98"/>
    <n v="0.02"/>
    <n v="0.02"/>
    <n v="1363"/>
    <n v="32"/>
  </r>
  <r>
    <x v="20"/>
    <x v="79"/>
    <x v="3"/>
    <n v="3.97"/>
    <n v="282.43"/>
    <n v="0.02"/>
    <n v="0.01"/>
    <n v="711"/>
    <n v="33"/>
  </r>
  <r>
    <x v="20"/>
    <x v="82"/>
    <x v="3"/>
    <n v="3.94"/>
    <n v="1300.04"/>
    <n v="0.02"/>
    <n v="0.04"/>
    <n v="3300"/>
    <n v="34"/>
  </r>
  <r>
    <x v="20"/>
    <x v="28"/>
    <x v="3"/>
    <n v="3.82"/>
    <n v="1091.47"/>
    <n v="0.02"/>
    <n v="0.04"/>
    <n v="2857"/>
    <n v="35"/>
  </r>
  <r>
    <x v="20"/>
    <x v="34"/>
    <x v="3"/>
    <n v="3.51"/>
    <n v="3036.9"/>
    <n v="0.02"/>
    <n v="0.1"/>
    <n v="8652"/>
    <n v="36"/>
  </r>
  <r>
    <x v="20"/>
    <x v="18"/>
    <x v="3"/>
    <n v="3.5"/>
    <n v="148.13"/>
    <n v="0.02"/>
    <n v="0"/>
    <n v="423"/>
    <n v="37"/>
  </r>
  <r>
    <x v="20"/>
    <x v="65"/>
    <x v="3"/>
    <n v="2.52"/>
    <n v="266.12"/>
    <n v="0.01"/>
    <n v="0.01"/>
    <n v="1056"/>
    <n v="38"/>
  </r>
  <r>
    <x v="20"/>
    <x v="49"/>
    <x v="3"/>
    <n v="2.46"/>
    <n v="511.62"/>
    <n v="0.01"/>
    <n v="0.02"/>
    <n v="2080"/>
    <n v="39"/>
  </r>
  <r>
    <x v="20"/>
    <x v="50"/>
    <x v="3"/>
    <n v="2.11"/>
    <n v="15.62"/>
    <n v="0.01"/>
    <n v="0"/>
    <n v="74"/>
    <n v="40"/>
  </r>
  <r>
    <x v="20"/>
    <x v="35"/>
    <x v="3"/>
    <n v="1.91"/>
    <n v="103.33"/>
    <n v="0.01"/>
    <n v="0"/>
    <n v="541"/>
    <n v="41"/>
  </r>
  <r>
    <x v="20"/>
    <x v="30"/>
    <x v="3"/>
    <n v="1.86"/>
    <n v="522.28"/>
    <n v="0.01"/>
    <n v="0.02"/>
    <n v="2808"/>
    <n v="42"/>
  </r>
  <r>
    <x v="20"/>
    <x v="36"/>
    <x v="3"/>
    <n v="1.73"/>
    <n v="501.14"/>
    <n v="0.01"/>
    <n v="0.02"/>
    <n v="2897"/>
    <n v="43"/>
  </r>
  <r>
    <x v="20"/>
    <x v="31"/>
    <x v="3"/>
    <n v="1.72"/>
    <n v="492"/>
    <n v="0.01"/>
    <n v="0.02"/>
    <n v="2860"/>
    <n v="44"/>
  </r>
  <r>
    <x v="20"/>
    <x v="54"/>
    <x v="3"/>
    <n v="1.69"/>
    <n v="258.04000000000002"/>
    <n v="0.01"/>
    <n v="0.01"/>
    <n v="1527"/>
    <n v="45"/>
  </r>
  <r>
    <x v="20"/>
    <x v="43"/>
    <x v="3"/>
    <n v="1.63"/>
    <n v="194.3"/>
    <n v="0.01"/>
    <n v="0.01"/>
    <n v="1192"/>
    <n v="46"/>
  </r>
  <r>
    <x v="20"/>
    <x v="46"/>
    <x v="3"/>
    <n v="1.58"/>
    <n v="553.34"/>
    <n v="0.01"/>
    <n v="0.02"/>
    <n v="3502"/>
    <n v="47"/>
  </r>
  <r>
    <x v="20"/>
    <x v="47"/>
    <x v="3"/>
    <n v="1.17"/>
    <n v="215.21"/>
    <n v="0.01"/>
    <n v="0.01"/>
    <n v="1839"/>
    <n v="48"/>
  </r>
  <r>
    <x v="20"/>
    <x v="88"/>
    <x v="3"/>
    <n v="1.06"/>
    <n v="31.76"/>
    <n v="0"/>
    <n v="0"/>
    <n v="300"/>
    <n v="49"/>
  </r>
  <r>
    <x v="20"/>
    <x v="33"/>
    <x v="3"/>
    <n v="1.02"/>
    <n v="18.079999999999998"/>
    <n v="0"/>
    <n v="0"/>
    <n v="177"/>
    <n v="50"/>
  </r>
  <r>
    <x v="20"/>
    <x v="40"/>
    <x v="3"/>
    <n v="1"/>
    <n v="310.33999999999997"/>
    <n v="0"/>
    <n v="0.01"/>
    <n v="3103"/>
    <n v="51"/>
  </r>
  <r>
    <x v="20"/>
    <x v="45"/>
    <x v="3"/>
    <n v="0.97"/>
    <n v="304.17"/>
    <n v="0"/>
    <n v="0.01"/>
    <n v="3136"/>
    <n v="52"/>
  </r>
  <r>
    <x v="20"/>
    <x v="41"/>
    <x v="3"/>
    <n v="0.94"/>
    <n v="299.51"/>
    <n v="0"/>
    <n v="0.01"/>
    <n v="3186"/>
    <n v="53"/>
  </r>
  <r>
    <x v="20"/>
    <x v="39"/>
    <x v="3"/>
    <n v="0.91"/>
    <n v="20.37"/>
    <n v="0"/>
    <n v="0"/>
    <n v="224"/>
    <n v="54"/>
  </r>
  <r>
    <x v="20"/>
    <x v="69"/>
    <x v="3"/>
    <n v="0.84"/>
    <n v="78.849999999999994"/>
    <n v="0"/>
    <n v="0"/>
    <n v="939"/>
    <n v="55"/>
  </r>
  <r>
    <x v="20"/>
    <x v="81"/>
    <x v="3"/>
    <n v="0.8"/>
    <n v="67.709999999999994"/>
    <n v="0"/>
    <n v="0"/>
    <n v="846"/>
    <n v="56"/>
  </r>
  <r>
    <x v="20"/>
    <x v="70"/>
    <x v="3"/>
    <n v="0.74"/>
    <n v="86.1"/>
    <n v="0"/>
    <n v="0"/>
    <n v="1164"/>
    <n v="57"/>
  </r>
  <r>
    <x v="20"/>
    <x v="44"/>
    <x v="3"/>
    <n v="0.72"/>
    <n v="66.56"/>
    <n v="0"/>
    <n v="0"/>
    <n v="924"/>
    <n v="58"/>
  </r>
  <r>
    <x v="20"/>
    <x v="51"/>
    <x v="3"/>
    <n v="0.64"/>
    <n v="173.06"/>
    <n v="0"/>
    <n v="0.01"/>
    <n v="2704"/>
    <n v="59"/>
  </r>
  <r>
    <x v="20"/>
    <x v="48"/>
    <x v="3"/>
    <n v="0.57999999999999996"/>
    <n v="67.349999999999994"/>
    <n v="0"/>
    <n v="0"/>
    <n v="1161"/>
    <n v="60"/>
  </r>
  <r>
    <x v="20"/>
    <x v="64"/>
    <x v="3"/>
    <n v="0.57999999999999996"/>
    <n v="33.520000000000003"/>
    <n v="0"/>
    <n v="0"/>
    <n v="578"/>
    <n v="60"/>
  </r>
  <r>
    <x v="20"/>
    <x v="42"/>
    <x v="3"/>
    <n v="0.56999999999999995"/>
    <n v="209.67"/>
    <n v="0"/>
    <n v="0.01"/>
    <n v="3678"/>
    <n v="62"/>
  </r>
  <r>
    <x v="20"/>
    <x v="37"/>
    <x v="3"/>
    <n v="0.56000000000000005"/>
    <n v="195.17"/>
    <n v="0"/>
    <n v="0.01"/>
    <n v="3485"/>
    <n v="63"/>
  </r>
  <r>
    <x v="20"/>
    <x v="67"/>
    <x v="3"/>
    <n v="0.55000000000000004"/>
    <n v="675.77"/>
    <n v="0"/>
    <n v="0.02"/>
    <n v="12287"/>
    <n v="64"/>
  </r>
  <r>
    <x v="20"/>
    <x v="80"/>
    <x v="3"/>
    <n v="0.46"/>
    <n v="38.68"/>
    <n v="0"/>
    <n v="0"/>
    <n v="841"/>
    <n v="65"/>
  </r>
  <r>
    <x v="20"/>
    <x v="52"/>
    <x v="3"/>
    <n v="0.36"/>
    <n v="106.92"/>
    <n v="0"/>
    <n v="0"/>
    <n v="2970"/>
    <n v="66"/>
  </r>
  <r>
    <x v="20"/>
    <x v="94"/>
    <x v="3"/>
    <n v="0.31"/>
    <n v="40.03"/>
    <n v="0"/>
    <n v="0"/>
    <n v="1291"/>
    <n v="67"/>
  </r>
  <r>
    <x v="20"/>
    <x v="56"/>
    <x v="3"/>
    <n v="0.31"/>
    <n v="111.41"/>
    <n v="0"/>
    <n v="0"/>
    <n v="3594"/>
    <n v="67"/>
  </r>
  <r>
    <x v="20"/>
    <x v="84"/>
    <x v="3"/>
    <n v="0.28999999999999998"/>
    <n v="46.01"/>
    <n v="0"/>
    <n v="0"/>
    <n v="1587"/>
    <n v="69"/>
  </r>
  <r>
    <x v="20"/>
    <x v="55"/>
    <x v="3"/>
    <n v="0.26"/>
    <n v="70.11"/>
    <n v="0"/>
    <n v="0"/>
    <n v="2697"/>
    <n v="70"/>
  </r>
  <r>
    <x v="20"/>
    <x v="61"/>
    <x v="3"/>
    <n v="0.26"/>
    <n v="19.3"/>
    <n v="0"/>
    <n v="0"/>
    <n v="742"/>
    <n v="70"/>
  </r>
  <r>
    <x v="20"/>
    <x v="60"/>
    <x v="3"/>
    <n v="0.24"/>
    <n v="117.73"/>
    <n v="0"/>
    <n v="0"/>
    <n v="4905"/>
    <n v="72"/>
  </r>
  <r>
    <x v="20"/>
    <x v="66"/>
    <x v="3"/>
    <n v="0.21"/>
    <n v="7.56"/>
    <n v="0"/>
    <n v="0"/>
    <n v="360"/>
    <n v="73"/>
  </r>
  <r>
    <x v="20"/>
    <x v="62"/>
    <x v="3"/>
    <n v="0.17"/>
    <n v="63.07"/>
    <n v="0"/>
    <n v="0"/>
    <n v="3710"/>
    <n v="74"/>
  </r>
  <r>
    <x v="20"/>
    <x v="97"/>
    <x v="3"/>
    <n v="0.16"/>
    <n v="65.900000000000006"/>
    <n v="0"/>
    <n v="0"/>
    <n v="4119"/>
    <n v="75"/>
  </r>
  <r>
    <x v="20"/>
    <x v="57"/>
    <x v="3"/>
    <n v="0.16"/>
    <n v="7.93"/>
    <n v="0"/>
    <n v="0"/>
    <n v="496"/>
    <n v="75"/>
  </r>
  <r>
    <x v="20"/>
    <x v="68"/>
    <x v="3"/>
    <n v="0.13"/>
    <n v="43.34"/>
    <n v="0"/>
    <n v="0"/>
    <n v="3334"/>
    <n v="77"/>
  </r>
  <r>
    <x v="20"/>
    <x v="63"/>
    <x v="3"/>
    <n v="0.11"/>
    <n v="44.44"/>
    <n v="0"/>
    <n v="0"/>
    <n v="4040"/>
    <n v="78"/>
  </r>
  <r>
    <x v="20"/>
    <x v="83"/>
    <x v="3"/>
    <n v="0.1"/>
    <n v="35.72"/>
    <n v="0"/>
    <n v="0"/>
    <n v="3572"/>
    <n v="79"/>
  </r>
  <r>
    <x v="20"/>
    <x v="95"/>
    <x v="3"/>
    <n v="0.08"/>
    <n v="15.21"/>
    <n v="0"/>
    <n v="0"/>
    <n v="1901"/>
    <n v="80"/>
  </r>
  <r>
    <x v="20"/>
    <x v="53"/>
    <x v="3"/>
    <n v="0.08"/>
    <n v="28.22"/>
    <n v="0"/>
    <n v="0"/>
    <n v="3528"/>
    <n v="80"/>
  </r>
  <r>
    <x v="20"/>
    <x v="72"/>
    <x v="3"/>
    <n v="0.08"/>
    <n v="20.98"/>
    <n v="0"/>
    <n v="0"/>
    <n v="2623"/>
    <n v="80"/>
  </r>
  <r>
    <x v="20"/>
    <x v="86"/>
    <x v="3"/>
    <n v="7.0000000000000007E-2"/>
    <n v="6.79"/>
    <n v="0"/>
    <n v="0"/>
    <n v="970"/>
    <n v="83"/>
  </r>
  <r>
    <x v="20"/>
    <x v="92"/>
    <x v="3"/>
    <n v="0.06"/>
    <n v="4.17"/>
    <n v="0"/>
    <n v="0"/>
    <n v="695"/>
    <n v="84"/>
  </r>
  <r>
    <x v="20"/>
    <x v="93"/>
    <x v="3"/>
    <n v="0.06"/>
    <n v="5.09"/>
    <n v="0"/>
    <n v="0"/>
    <n v="848"/>
    <n v="84"/>
  </r>
  <r>
    <x v="20"/>
    <x v="58"/>
    <x v="3"/>
    <n v="0.05"/>
    <n v="4.1500000000000004"/>
    <n v="0"/>
    <n v="0"/>
    <n v="830"/>
    <n v="86"/>
  </r>
  <r>
    <x v="20"/>
    <x v="77"/>
    <x v="3"/>
    <n v="0.04"/>
    <n v="3.87"/>
    <n v="0"/>
    <n v="0"/>
    <n v="968"/>
    <n v="87"/>
  </r>
  <r>
    <x v="20"/>
    <x v="71"/>
    <x v="3"/>
    <n v="0.03"/>
    <n v="15.3"/>
    <n v="0"/>
    <n v="0"/>
    <n v="5100"/>
    <n v="88"/>
  </r>
  <r>
    <x v="20"/>
    <x v="96"/>
    <x v="3"/>
    <n v="0.03"/>
    <n v="2.75"/>
    <n v="0"/>
    <n v="0"/>
    <n v="917"/>
    <n v="88"/>
  </r>
  <r>
    <x v="20"/>
    <x v="98"/>
    <x v="3"/>
    <n v="0.02"/>
    <n v="5.32"/>
    <n v="0"/>
    <n v="0"/>
    <n v="2660"/>
    <n v="90"/>
  </r>
  <r>
    <x v="21"/>
    <x v="0"/>
    <x v="0"/>
    <n v="10483.73"/>
    <n v="1419193.39"/>
    <n v="46.15"/>
    <n v="49.07"/>
    <n v="1354"/>
    <n v="1"/>
  </r>
  <r>
    <x v="21"/>
    <x v="1"/>
    <x v="1"/>
    <n v="7407.71"/>
    <n v="967055.79"/>
    <n v="32.61"/>
    <n v="33.44"/>
    <n v="1305"/>
    <n v="2"/>
  </r>
  <r>
    <x v="21"/>
    <x v="2"/>
    <x v="2"/>
    <n v="1798.84"/>
    <n v="192617.38"/>
    <n v="7.92"/>
    <n v="6.66"/>
    <n v="1071"/>
    <n v="3"/>
  </r>
  <r>
    <x v="21"/>
    <x v="4"/>
    <x v="3"/>
    <n v="842.51"/>
    <n v="43948.56"/>
    <n v="3.71"/>
    <n v="1.52"/>
    <n v="522"/>
    <n v="4"/>
  </r>
  <r>
    <x v="21"/>
    <x v="14"/>
    <x v="3"/>
    <n v="430.24"/>
    <n v="20252.400000000001"/>
    <n v="1.89"/>
    <n v="0.7"/>
    <n v="471"/>
    <n v="5"/>
  </r>
  <r>
    <x v="21"/>
    <x v="13"/>
    <x v="3"/>
    <n v="223.54"/>
    <n v="25612.81"/>
    <n v="0.98"/>
    <n v="0.89"/>
    <n v="1146"/>
    <n v="6"/>
  </r>
  <r>
    <x v="21"/>
    <x v="7"/>
    <x v="3"/>
    <n v="195.31"/>
    <n v="2666.23"/>
    <n v="0.86"/>
    <n v="0.09"/>
    <n v="137"/>
    <n v="7"/>
  </r>
  <r>
    <x v="21"/>
    <x v="9"/>
    <x v="3"/>
    <n v="150.47999999999999"/>
    <n v="11391.85"/>
    <n v="0.66"/>
    <n v="0.39"/>
    <n v="757"/>
    <n v="8"/>
  </r>
  <r>
    <x v="21"/>
    <x v="3"/>
    <x v="3"/>
    <n v="141.78"/>
    <n v="55116.79"/>
    <n v="0.62"/>
    <n v="1.91"/>
    <n v="3887"/>
    <n v="9"/>
  </r>
  <r>
    <x v="21"/>
    <x v="5"/>
    <x v="3"/>
    <n v="136.16"/>
    <n v="13120.62"/>
    <n v="0.6"/>
    <n v="0.45"/>
    <n v="964"/>
    <n v="10"/>
  </r>
  <r>
    <x v="21"/>
    <x v="10"/>
    <x v="3"/>
    <n v="122.08"/>
    <n v="14847.89"/>
    <n v="0.54"/>
    <n v="0.51"/>
    <n v="1216"/>
    <n v="11"/>
  </r>
  <r>
    <x v="21"/>
    <x v="6"/>
    <x v="3"/>
    <n v="84.2"/>
    <n v="10157.17"/>
    <n v="0.37"/>
    <n v="0.35"/>
    <n v="1206"/>
    <n v="12"/>
  </r>
  <r>
    <x v="21"/>
    <x v="16"/>
    <x v="3"/>
    <n v="68.67"/>
    <n v="8115.02"/>
    <n v="0.3"/>
    <n v="0.28000000000000003"/>
    <n v="1182"/>
    <n v="13"/>
  </r>
  <r>
    <x v="21"/>
    <x v="11"/>
    <x v="3"/>
    <n v="65.569999999999993"/>
    <n v="17044.38"/>
    <n v="0.28999999999999998"/>
    <n v="0.59"/>
    <n v="2599"/>
    <n v="14"/>
  </r>
  <r>
    <x v="21"/>
    <x v="20"/>
    <x v="3"/>
    <n v="64.61"/>
    <n v="5641.79"/>
    <n v="0.28000000000000003"/>
    <n v="0.2"/>
    <n v="873"/>
    <n v="15"/>
  </r>
  <r>
    <x v="21"/>
    <x v="12"/>
    <x v="3"/>
    <n v="48.21"/>
    <n v="7535.72"/>
    <n v="0.21"/>
    <n v="0.26"/>
    <n v="1563"/>
    <n v="16"/>
  </r>
  <r>
    <x v="21"/>
    <x v="8"/>
    <x v="3"/>
    <n v="47.95"/>
    <n v="21800.48"/>
    <n v="0.21"/>
    <n v="0.75"/>
    <n v="4547"/>
    <n v="17"/>
  </r>
  <r>
    <x v="21"/>
    <x v="22"/>
    <x v="3"/>
    <n v="46.17"/>
    <n v="3707.09"/>
    <n v="0.2"/>
    <n v="0.13"/>
    <n v="803"/>
    <n v="18"/>
  </r>
  <r>
    <x v="21"/>
    <x v="21"/>
    <x v="3"/>
    <n v="23.15"/>
    <n v="5977.73"/>
    <n v="0.1"/>
    <n v="0.21"/>
    <n v="2582"/>
    <n v="19"/>
  </r>
  <r>
    <x v="21"/>
    <x v="85"/>
    <x v="3"/>
    <n v="19.309999999999999"/>
    <n v="2290.9299999999998"/>
    <n v="0.09"/>
    <n v="0.08"/>
    <n v="1186"/>
    <n v="20"/>
  </r>
  <r>
    <x v="21"/>
    <x v="24"/>
    <x v="3"/>
    <n v="17.54"/>
    <n v="1929.27"/>
    <n v="0.08"/>
    <n v="7.0000000000000007E-2"/>
    <n v="1100"/>
    <n v="21"/>
  </r>
  <r>
    <x v="21"/>
    <x v="15"/>
    <x v="3"/>
    <n v="15.84"/>
    <n v="1527.15"/>
    <n v="7.0000000000000007E-2"/>
    <n v="0.05"/>
    <n v="964"/>
    <n v="22"/>
  </r>
  <r>
    <x v="21"/>
    <x v="19"/>
    <x v="3"/>
    <n v="15.4"/>
    <n v="3404.91"/>
    <n v="7.0000000000000007E-2"/>
    <n v="0.12"/>
    <n v="2211"/>
    <n v="23"/>
  </r>
  <r>
    <x v="21"/>
    <x v="17"/>
    <x v="3"/>
    <n v="14.75"/>
    <n v="11613.02"/>
    <n v="0.06"/>
    <n v="0.4"/>
    <n v="7873"/>
    <n v="24"/>
  </r>
  <r>
    <x v="21"/>
    <x v="89"/>
    <x v="3"/>
    <n v="11.34"/>
    <n v="217.15"/>
    <n v="0.05"/>
    <n v="0.01"/>
    <n v="191"/>
    <n v="25"/>
  </r>
  <r>
    <x v="21"/>
    <x v="23"/>
    <x v="3"/>
    <n v="10.49"/>
    <n v="721.42"/>
    <n v="0.05"/>
    <n v="0.02"/>
    <n v="688"/>
    <n v="26"/>
  </r>
  <r>
    <x v="21"/>
    <x v="25"/>
    <x v="3"/>
    <n v="8.41"/>
    <n v="3019.86"/>
    <n v="0.04"/>
    <n v="0.1"/>
    <n v="3591"/>
    <n v="27"/>
  </r>
  <r>
    <x v="21"/>
    <x v="32"/>
    <x v="3"/>
    <n v="7.56"/>
    <n v="744.84"/>
    <n v="0.03"/>
    <n v="0.03"/>
    <n v="985"/>
    <n v="28"/>
  </r>
  <r>
    <x v="21"/>
    <x v="29"/>
    <x v="3"/>
    <n v="6.71"/>
    <n v="423.91"/>
    <n v="0.03"/>
    <n v="0.01"/>
    <n v="632"/>
    <n v="29"/>
  </r>
  <r>
    <x v="21"/>
    <x v="79"/>
    <x v="3"/>
    <n v="5.15"/>
    <n v="388.96"/>
    <n v="0.02"/>
    <n v="0.01"/>
    <n v="755"/>
    <n v="30"/>
  </r>
  <r>
    <x v="21"/>
    <x v="26"/>
    <x v="3"/>
    <n v="5.03"/>
    <n v="839.64"/>
    <n v="0.02"/>
    <n v="0.03"/>
    <n v="1669"/>
    <n v="31"/>
  </r>
  <r>
    <x v="21"/>
    <x v="27"/>
    <x v="3"/>
    <n v="4.78"/>
    <n v="880.9"/>
    <n v="0.02"/>
    <n v="0.03"/>
    <n v="1843"/>
    <n v="32"/>
  </r>
  <r>
    <x v="21"/>
    <x v="38"/>
    <x v="3"/>
    <n v="4.2"/>
    <n v="564.63"/>
    <n v="0.02"/>
    <n v="0.02"/>
    <n v="1344"/>
    <n v="33"/>
  </r>
  <r>
    <x v="21"/>
    <x v="28"/>
    <x v="3"/>
    <n v="3.98"/>
    <n v="1116.08"/>
    <n v="0.02"/>
    <n v="0.04"/>
    <n v="2804"/>
    <n v="34"/>
  </r>
  <r>
    <x v="21"/>
    <x v="82"/>
    <x v="3"/>
    <n v="3.58"/>
    <n v="1340.71"/>
    <n v="0.02"/>
    <n v="0.05"/>
    <n v="3745"/>
    <n v="35"/>
  </r>
  <r>
    <x v="21"/>
    <x v="34"/>
    <x v="3"/>
    <n v="3.35"/>
    <n v="2682.12"/>
    <n v="0.01"/>
    <n v="0.09"/>
    <n v="8006"/>
    <n v="36"/>
  </r>
  <r>
    <x v="21"/>
    <x v="18"/>
    <x v="3"/>
    <n v="3.18"/>
    <n v="127.17"/>
    <n v="0.01"/>
    <n v="0"/>
    <n v="400"/>
    <n v="37"/>
  </r>
  <r>
    <x v="21"/>
    <x v="65"/>
    <x v="3"/>
    <n v="2.69"/>
    <n v="288.60000000000002"/>
    <n v="0.01"/>
    <n v="0.01"/>
    <n v="1073"/>
    <n v="38"/>
  </r>
  <r>
    <x v="21"/>
    <x v="49"/>
    <x v="3"/>
    <n v="2.38"/>
    <n v="477.97"/>
    <n v="0.01"/>
    <n v="0.02"/>
    <n v="2008"/>
    <n v="39"/>
  </r>
  <r>
    <x v="21"/>
    <x v="50"/>
    <x v="3"/>
    <n v="2.15"/>
    <n v="20.84"/>
    <n v="0.01"/>
    <n v="0"/>
    <n v="97"/>
    <n v="40"/>
  </r>
  <r>
    <x v="21"/>
    <x v="54"/>
    <x v="3"/>
    <n v="2.02"/>
    <n v="226.81"/>
    <n v="0.01"/>
    <n v="0.01"/>
    <n v="1123"/>
    <n v="41"/>
  </r>
  <r>
    <x v="21"/>
    <x v="30"/>
    <x v="3"/>
    <n v="2.02"/>
    <n v="545.91999999999996"/>
    <n v="0.01"/>
    <n v="0.02"/>
    <n v="2703"/>
    <n v="41"/>
  </r>
  <r>
    <x v="21"/>
    <x v="35"/>
    <x v="3"/>
    <n v="1.76"/>
    <n v="97.84"/>
    <n v="0.01"/>
    <n v="0"/>
    <n v="556"/>
    <n v="43"/>
  </r>
  <r>
    <x v="21"/>
    <x v="31"/>
    <x v="3"/>
    <n v="1.75"/>
    <n v="501.1"/>
    <n v="0.01"/>
    <n v="0.02"/>
    <n v="2863"/>
    <n v="44"/>
  </r>
  <r>
    <x v="21"/>
    <x v="36"/>
    <x v="3"/>
    <n v="1.72"/>
    <n v="493.13"/>
    <n v="0.01"/>
    <n v="0.02"/>
    <n v="2867"/>
    <n v="45"/>
  </r>
  <r>
    <x v="21"/>
    <x v="46"/>
    <x v="3"/>
    <n v="1.56"/>
    <n v="542.89"/>
    <n v="0.01"/>
    <n v="0.02"/>
    <n v="3480"/>
    <n v="46"/>
  </r>
  <r>
    <x v="21"/>
    <x v="43"/>
    <x v="3"/>
    <n v="1.52"/>
    <n v="174.23"/>
    <n v="0.01"/>
    <n v="0.01"/>
    <n v="1146"/>
    <n v="47"/>
  </r>
  <r>
    <x v="21"/>
    <x v="33"/>
    <x v="3"/>
    <n v="1.1399999999999999"/>
    <n v="20.21"/>
    <n v="0.01"/>
    <n v="0"/>
    <n v="177"/>
    <n v="48"/>
  </r>
  <r>
    <x v="21"/>
    <x v="47"/>
    <x v="3"/>
    <n v="1.1100000000000001"/>
    <n v="211.59"/>
    <n v="0"/>
    <n v="0.01"/>
    <n v="1906"/>
    <n v="49"/>
  </r>
  <r>
    <x v="21"/>
    <x v="40"/>
    <x v="3"/>
    <n v="0.98"/>
    <n v="313.93"/>
    <n v="0"/>
    <n v="0.01"/>
    <n v="3203"/>
    <n v="50"/>
  </r>
  <r>
    <x v="21"/>
    <x v="45"/>
    <x v="3"/>
    <n v="0.97"/>
    <n v="308.72000000000003"/>
    <n v="0"/>
    <n v="0.01"/>
    <n v="3183"/>
    <n v="51"/>
  </r>
  <r>
    <x v="21"/>
    <x v="41"/>
    <x v="3"/>
    <n v="0.93"/>
    <n v="293.52999999999997"/>
    <n v="0"/>
    <n v="0.01"/>
    <n v="3156"/>
    <n v="52"/>
  </r>
  <r>
    <x v="21"/>
    <x v="39"/>
    <x v="3"/>
    <n v="0.83"/>
    <n v="16.86"/>
    <n v="0"/>
    <n v="0"/>
    <n v="203"/>
    <n v="53"/>
  </r>
  <r>
    <x v="21"/>
    <x v="44"/>
    <x v="3"/>
    <n v="0.77"/>
    <n v="69.040000000000006"/>
    <n v="0"/>
    <n v="0"/>
    <n v="897"/>
    <n v="54"/>
  </r>
  <r>
    <x v="21"/>
    <x v="69"/>
    <x v="3"/>
    <n v="0.74"/>
    <n v="79.28"/>
    <n v="0"/>
    <n v="0"/>
    <n v="1071"/>
    <n v="55"/>
  </r>
  <r>
    <x v="21"/>
    <x v="88"/>
    <x v="3"/>
    <n v="0.74"/>
    <n v="17.32"/>
    <n v="0"/>
    <n v="0"/>
    <n v="234"/>
    <n v="55"/>
  </r>
  <r>
    <x v="21"/>
    <x v="81"/>
    <x v="3"/>
    <n v="0.73"/>
    <n v="63.33"/>
    <n v="0"/>
    <n v="0"/>
    <n v="868"/>
    <n v="57"/>
  </r>
  <r>
    <x v="21"/>
    <x v="51"/>
    <x v="3"/>
    <n v="0.66"/>
    <n v="175.86"/>
    <n v="0"/>
    <n v="0.01"/>
    <n v="2665"/>
    <n v="58"/>
  </r>
  <r>
    <x v="21"/>
    <x v="42"/>
    <x v="3"/>
    <n v="0.56000000000000005"/>
    <n v="202.67"/>
    <n v="0"/>
    <n v="0.01"/>
    <n v="3619"/>
    <n v="59"/>
  </r>
  <r>
    <x v="21"/>
    <x v="48"/>
    <x v="3"/>
    <n v="0.56000000000000005"/>
    <n v="57.9"/>
    <n v="0"/>
    <n v="0"/>
    <n v="1034"/>
    <n v="59"/>
  </r>
  <r>
    <x v="21"/>
    <x v="37"/>
    <x v="3"/>
    <n v="0.55000000000000004"/>
    <n v="193.29"/>
    <n v="0"/>
    <n v="0.01"/>
    <n v="3514"/>
    <n v="61"/>
  </r>
  <r>
    <x v="21"/>
    <x v="64"/>
    <x v="3"/>
    <n v="0.53"/>
    <n v="28.99"/>
    <n v="0"/>
    <n v="0"/>
    <n v="547"/>
    <n v="62"/>
  </r>
  <r>
    <x v="21"/>
    <x v="67"/>
    <x v="3"/>
    <n v="0.49"/>
    <n v="598.38"/>
    <n v="0"/>
    <n v="0.02"/>
    <n v="12212"/>
    <n v="63"/>
  </r>
  <r>
    <x v="21"/>
    <x v="80"/>
    <x v="3"/>
    <n v="0.47"/>
    <n v="38.49"/>
    <n v="0"/>
    <n v="0"/>
    <n v="819"/>
    <n v="64"/>
  </r>
  <r>
    <x v="21"/>
    <x v="52"/>
    <x v="3"/>
    <n v="0.34"/>
    <n v="93.12"/>
    <n v="0"/>
    <n v="0"/>
    <n v="2739"/>
    <n v="65"/>
  </r>
  <r>
    <x v="21"/>
    <x v="84"/>
    <x v="3"/>
    <n v="0.33"/>
    <n v="50.74"/>
    <n v="0"/>
    <n v="0"/>
    <n v="1538"/>
    <n v="66"/>
  </r>
  <r>
    <x v="21"/>
    <x v="56"/>
    <x v="3"/>
    <n v="0.32"/>
    <n v="114.4"/>
    <n v="0"/>
    <n v="0"/>
    <n v="3575"/>
    <n v="67"/>
  </r>
  <r>
    <x v="21"/>
    <x v="61"/>
    <x v="3"/>
    <n v="0.25"/>
    <n v="19.920000000000002"/>
    <n v="0"/>
    <n v="0"/>
    <n v="797"/>
    <n v="68"/>
  </r>
  <r>
    <x v="21"/>
    <x v="55"/>
    <x v="3"/>
    <n v="0.25"/>
    <n v="68.72"/>
    <n v="0"/>
    <n v="0"/>
    <n v="2749"/>
    <n v="68"/>
  </r>
  <r>
    <x v="21"/>
    <x v="94"/>
    <x v="3"/>
    <n v="0.24"/>
    <n v="31.47"/>
    <n v="0"/>
    <n v="0"/>
    <n v="1311"/>
    <n v="70"/>
  </r>
  <r>
    <x v="21"/>
    <x v="97"/>
    <x v="3"/>
    <n v="0.23"/>
    <n v="102.83"/>
    <n v="0"/>
    <n v="0"/>
    <n v="4471"/>
    <n v="71"/>
  </r>
  <r>
    <x v="21"/>
    <x v="60"/>
    <x v="3"/>
    <n v="0.23"/>
    <n v="117.01"/>
    <n v="0"/>
    <n v="0"/>
    <n v="5087"/>
    <n v="71"/>
  </r>
  <r>
    <x v="21"/>
    <x v="62"/>
    <x v="3"/>
    <n v="0.15"/>
    <n v="109.06"/>
    <n v="0"/>
    <n v="0"/>
    <n v="7271"/>
    <n v="73"/>
  </r>
  <r>
    <x v="21"/>
    <x v="68"/>
    <x v="3"/>
    <n v="0.13"/>
    <n v="46.32"/>
    <n v="0"/>
    <n v="0"/>
    <n v="3563"/>
    <n v="74"/>
  </r>
  <r>
    <x v="21"/>
    <x v="57"/>
    <x v="3"/>
    <n v="0.12"/>
    <n v="6"/>
    <n v="0"/>
    <n v="0"/>
    <n v="500"/>
    <n v="75"/>
  </r>
  <r>
    <x v="21"/>
    <x v="70"/>
    <x v="3"/>
    <n v="0.12"/>
    <n v="27.01"/>
    <n v="0"/>
    <n v="0"/>
    <n v="2251"/>
    <n v="75"/>
  </r>
  <r>
    <x v="21"/>
    <x v="83"/>
    <x v="3"/>
    <n v="0.11"/>
    <n v="38.950000000000003"/>
    <n v="0"/>
    <n v="0"/>
    <n v="3541"/>
    <n v="77"/>
  </r>
  <r>
    <x v="21"/>
    <x v="95"/>
    <x v="3"/>
    <n v="0.1"/>
    <n v="20.059999999999999"/>
    <n v="0"/>
    <n v="0"/>
    <n v="2006"/>
    <n v="78"/>
  </r>
  <r>
    <x v="21"/>
    <x v="63"/>
    <x v="3"/>
    <n v="0.1"/>
    <n v="41.96"/>
    <n v="0"/>
    <n v="0"/>
    <n v="4196"/>
    <n v="78"/>
  </r>
  <r>
    <x v="21"/>
    <x v="99"/>
    <x v="3"/>
    <n v="0.09"/>
    <n v="4.7300000000000004"/>
    <n v="0"/>
    <n v="0"/>
    <n v="526"/>
    <n v="80"/>
  </r>
  <r>
    <x v="21"/>
    <x v="66"/>
    <x v="3"/>
    <n v="0.08"/>
    <n v="2.86"/>
    <n v="0"/>
    <n v="0"/>
    <n v="358"/>
    <n v="81"/>
  </r>
  <r>
    <x v="21"/>
    <x v="72"/>
    <x v="3"/>
    <n v="0.08"/>
    <n v="22.17"/>
    <n v="0"/>
    <n v="0"/>
    <n v="2771"/>
    <n v="81"/>
  </r>
  <r>
    <x v="21"/>
    <x v="53"/>
    <x v="3"/>
    <n v="0.08"/>
    <n v="27.89"/>
    <n v="0"/>
    <n v="0"/>
    <n v="3486"/>
    <n v="81"/>
  </r>
  <r>
    <x v="21"/>
    <x v="86"/>
    <x v="3"/>
    <n v="0.06"/>
    <n v="6.37"/>
    <n v="0"/>
    <n v="0"/>
    <n v="1062"/>
    <n v="84"/>
  </r>
  <r>
    <x v="21"/>
    <x v="92"/>
    <x v="3"/>
    <n v="0.06"/>
    <n v="4.33"/>
    <n v="0"/>
    <n v="0"/>
    <n v="722"/>
    <n v="84"/>
  </r>
  <r>
    <x v="21"/>
    <x v="93"/>
    <x v="3"/>
    <n v="0.06"/>
    <n v="4.49"/>
    <n v="0"/>
    <n v="0"/>
    <n v="748"/>
    <n v="84"/>
  </r>
  <r>
    <x v="21"/>
    <x v="100"/>
    <x v="3"/>
    <n v="0.04"/>
    <n v="1.62"/>
    <n v="0"/>
    <n v="0"/>
    <n v="405"/>
    <n v="87"/>
  </r>
  <r>
    <x v="21"/>
    <x v="77"/>
    <x v="3"/>
    <n v="0.04"/>
    <n v="3.76"/>
    <n v="0"/>
    <n v="0"/>
    <n v="940"/>
    <n v="87"/>
  </r>
  <r>
    <x v="21"/>
    <x v="71"/>
    <x v="3"/>
    <n v="0.03"/>
    <n v="15.77"/>
    <n v="0"/>
    <n v="0"/>
    <n v="5257"/>
    <n v="89"/>
  </r>
  <r>
    <x v="21"/>
    <x v="96"/>
    <x v="3"/>
    <n v="0.03"/>
    <n v="2.85"/>
    <n v="0"/>
    <n v="0"/>
    <n v="950"/>
    <n v="89"/>
  </r>
  <r>
    <x v="21"/>
    <x v="58"/>
    <x v="3"/>
    <n v="0.03"/>
    <n v="1.81"/>
    <n v="0"/>
    <n v="0"/>
    <n v="603"/>
    <n v="89"/>
  </r>
  <r>
    <x v="22"/>
    <x v="0"/>
    <x v="0"/>
    <n v="10857.91"/>
    <n v="1443982.58"/>
    <n v="45.89"/>
    <n v="48.33"/>
    <n v="1330"/>
    <n v="1"/>
  </r>
  <r>
    <x v="22"/>
    <x v="1"/>
    <x v="1"/>
    <n v="7649.82"/>
    <n v="1001101.5"/>
    <n v="32.33"/>
    <n v="33.51"/>
    <n v="1309"/>
    <n v="2"/>
  </r>
  <r>
    <x v="22"/>
    <x v="2"/>
    <x v="2"/>
    <n v="1903.87"/>
    <n v="204565.74"/>
    <n v="8.0500000000000007"/>
    <n v="6.85"/>
    <n v="1074"/>
    <n v="3"/>
  </r>
  <r>
    <x v="22"/>
    <x v="4"/>
    <x v="3"/>
    <n v="947.08"/>
    <n v="48318.02"/>
    <n v="4"/>
    <n v="1.62"/>
    <n v="510"/>
    <n v="4"/>
  </r>
  <r>
    <x v="22"/>
    <x v="14"/>
    <x v="3"/>
    <n v="437.27"/>
    <n v="20838.189999999999"/>
    <n v="1.85"/>
    <n v="0.7"/>
    <n v="477"/>
    <n v="5"/>
  </r>
  <r>
    <x v="22"/>
    <x v="13"/>
    <x v="3"/>
    <n v="242.27"/>
    <n v="28632.66"/>
    <n v="1.02"/>
    <n v="0.96"/>
    <n v="1182"/>
    <n v="6"/>
  </r>
  <r>
    <x v="22"/>
    <x v="7"/>
    <x v="3"/>
    <n v="206.19"/>
    <n v="2820.96"/>
    <n v="0.87"/>
    <n v="0.09"/>
    <n v="137"/>
    <n v="7"/>
  </r>
  <r>
    <x v="22"/>
    <x v="9"/>
    <x v="3"/>
    <n v="167.89"/>
    <n v="12957.07"/>
    <n v="0.71"/>
    <n v="0.43"/>
    <n v="772"/>
    <n v="8"/>
  </r>
  <r>
    <x v="22"/>
    <x v="5"/>
    <x v="3"/>
    <n v="143.77000000000001"/>
    <n v="13939.94"/>
    <n v="0.61"/>
    <n v="0.47"/>
    <n v="970"/>
    <n v="9"/>
  </r>
  <r>
    <x v="22"/>
    <x v="3"/>
    <x v="3"/>
    <n v="142.1"/>
    <n v="59278.7"/>
    <n v="0.6"/>
    <n v="1.98"/>
    <n v="4172"/>
    <n v="10"/>
  </r>
  <r>
    <x v="22"/>
    <x v="10"/>
    <x v="3"/>
    <n v="129.03"/>
    <n v="16316.06"/>
    <n v="0.55000000000000004"/>
    <n v="0.55000000000000004"/>
    <n v="1265"/>
    <n v="11"/>
  </r>
  <r>
    <x v="22"/>
    <x v="6"/>
    <x v="3"/>
    <n v="90.65"/>
    <n v="10978.29"/>
    <n v="0.38"/>
    <n v="0.37"/>
    <n v="1211"/>
    <n v="12"/>
  </r>
  <r>
    <x v="22"/>
    <x v="11"/>
    <x v="3"/>
    <n v="70.72"/>
    <n v="17528.099999999999"/>
    <n v="0.3"/>
    <n v="0.59"/>
    <n v="2479"/>
    <n v="13"/>
  </r>
  <r>
    <x v="22"/>
    <x v="20"/>
    <x v="3"/>
    <n v="70.48"/>
    <n v="6312.31"/>
    <n v="0.3"/>
    <n v="0.21"/>
    <n v="896"/>
    <n v="14"/>
  </r>
  <r>
    <x v="22"/>
    <x v="16"/>
    <x v="3"/>
    <n v="69.180000000000007"/>
    <n v="8234.2999999999993"/>
    <n v="0.28999999999999998"/>
    <n v="0.28000000000000003"/>
    <n v="1190"/>
    <n v="15"/>
  </r>
  <r>
    <x v="22"/>
    <x v="22"/>
    <x v="3"/>
    <n v="54.82"/>
    <n v="4396.42"/>
    <n v="0.23"/>
    <n v="0.15"/>
    <n v="802"/>
    <n v="16"/>
  </r>
  <r>
    <x v="22"/>
    <x v="12"/>
    <x v="3"/>
    <n v="53.53"/>
    <n v="8179.71"/>
    <n v="0.23"/>
    <n v="0.27"/>
    <n v="1528"/>
    <n v="17"/>
  </r>
  <r>
    <x v="22"/>
    <x v="8"/>
    <x v="3"/>
    <n v="52.43"/>
    <n v="22738.18"/>
    <n v="0.22"/>
    <n v="0.76"/>
    <n v="4337"/>
    <n v="18"/>
  </r>
  <r>
    <x v="22"/>
    <x v="21"/>
    <x v="3"/>
    <n v="26.25"/>
    <n v="6800.75"/>
    <n v="0.11"/>
    <n v="0.23"/>
    <n v="2591"/>
    <n v="19"/>
  </r>
  <r>
    <x v="22"/>
    <x v="85"/>
    <x v="3"/>
    <n v="19.829999999999998"/>
    <n v="2448.61"/>
    <n v="0.08"/>
    <n v="0.08"/>
    <n v="1235"/>
    <n v="20"/>
  </r>
  <r>
    <x v="22"/>
    <x v="24"/>
    <x v="3"/>
    <n v="18.940000000000001"/>
    <n v="2084.79"/>
    <n v="0.08"/>
    <n v="7.0000000000000007E-2"/>
    <n v="1101"/>
    <n v="21"/>
  </r>
  <r>
    <x v="22"/>
    <x v="19"/>
    <x v="3"/>
    <n v="16.12"/>
    <n v="3626.92"/>
    <n v="7.0000000000000007E-2"/>
    <n v="0.12"/>
    <n v="2250"/>
    <n v="22"/>
  </r>
  <r>
    <x v="22"/>
    <x v="17"/>
    <x v="3"/>
    <n v="15.41"/>
    <n v="13216.27"/>
    <n v="7.0000000000000007E-2"/>
    <n v="0.44"/>
    <n v="8576"/>
    <n v="23"/>
  </r>
  <r>
    <x v="22"/>
    <x v="89"/>
    <x v="3"/>
    <n v="14.84"/>
    <n v="293.7"/>
    <n v="0.06"/>
    <n v="0.01"/>
    <n v="198"/>
    <n v="24"/>
  </r>
  <r>
    <x v="22"/>
    <x v="15"/>
    <x v="3"/>
    <n v="14.1"/>
    <n v="1249.17"/>
    <n v="0.06"/>
    <n v="0.04"/>
    <n v="886"/>
    <n v="25"/>
  </r>
  <r>
    <x v="22"/>
    <x v="23"/>
    <x v="3"/>
    <n v="10.6"/>
    <n v="750.73"/>
    <n v="0.04"/>
    <n v="0.03"/>
    <n v="708"/>
    <n v="26"/>
  </r>
  <r>
    <x v="22"/>
    <x v="32"/>
    <x v="3"/>
    <n v="10.28"/>
    <n v="967.65"/>
    <n v="0.04"/>
    <n v="0.03"/>
    <n v="941"/>
    <n v="27"/>
  </r>
  <r>
    <x v="22"/>
    <x v="25"/>
    <x v="3"/>
    <n v="9.73"/>
    <n v="3403.51"/>
    <n v="0.04"/>
    <n v="0.11"/>
    <n v="3498"/>
    <n v="28"/>
  </r>
  <r>
    <x v="22"/>
    <x v="29"/>
    <x v="3"/>
    <n v="6.34"/>
    <n v="407.11"/>
    <n v="0.03"/>
    <n v="0.01"/>
    <n v="642"/>
    <n v="29"/>
  </r>
  <r>
    <x v="22"/>
    <x v="79"/>
    <x v="3"/>
    <n v="6.13"/>
    <n v="469.27"/>
    <n v="0.03"/>
    <n v="0.02"/>
    <n v="766"/>
    <n v="30"/>
  </r>
  <r>
    <x v="22"/>
    <x v="26"/>
    <x v="3"/>
    <n v="5.08"/>
    <n v="853.38"/>
    <n v="0.02"/>
    <n v="0.03"/>
    <n v="1680"/>
    <n v="31"/>
  </r>
  <r>
    <x v="22"/>
    <x v="27"/>
    <x v="3"/>
    <n v="4.75"/>
    <n v="980.39"/>
    <n v="0.02"/>
    <n v="0.03"/>
    <n v="2064"/>
    <n v="32"/>
  </r>
  <r>
    <x v="22"/>
    <x v="38"/>
    <x v="3"/>
    <n v="4.59"/>
    <n v="606.35"/>
    <n v="0.02"/>
    <n v="0.02"/>
    <n v="1321"/>
    <n v="33"/>
  </r>
  <r>
    <x v="22"/>
    <x v="28"/>
    <x v="3"/>
    <n v="4.24"/>
    <n v="1186.82"/>
    <n v="0.02"/>
    <n v="0.04"/>
    <n v="2799"/>
    <n v="34"/>
  </r>
  <r>
    <x v="22"/>
    <x v="18"/>
    <x v="3"/>
    <n v="3.47"/>
    <n v="140.94"/>
    <n v="0.01"/>
    <n v="0"/>
    <n v="406"/>
    <n v="35"/>
  </r>
  <r>
    <x v="22"/>
    <x v="34"/>
    <x v="3"/>
    <n v="3.38"/>
    <n v="2696.94"/>
    <n v="0.01"/>
    <n v="0.09"/>
    <n v="7979"/>
    <n v="36"/>
  </r>
  <r>
    <x v="22"/>
    <x v="82"/>
    <x v="3"/>
    <n v="3.31"/>
    <n v="1222.72"/>
    <n v="0.01"/>
    <n v="0.04"/>
    <n v="3694"/>
    <n v="37"/>
  </r>
  <r>
    <x v="22"/>
    <x v="65"/>
    <x v="3"/>
    <n v="3.26"/>
    <n v="344.64"/>
    <n v="0.01"/>
    <n v="0.01"/>
    <n v="1057"/>
    <n v="38"/>
  </r>
  <r>
    <x v="22"/>
    <x v="49"/>
    <x v="3"/>
    <n v="2.5499999999999998"/>
    <n v="560.53"/>
    <n v="0.01"/>
    <n v="0.02"/>
    <n v="2198"/>
    <n v="39"/>
  </r>
  <r>
    <x v="22"/>
    <x v="30"/>
    <x v="3"/>
    <n v="2.14"/>
    <n v="591.34"/>
    <n v="0.01"/>
    <n v="0.02"/>
    <n v="2763"/>
    <n v="40"/>
  </r>
  <r>
    <x v="22"/>
    <x v="31"/>
    <x v="3"/>
    <n v="1.94"/>
    <n v="520.85"/>
    <n v="0.01"/>
    <n v="0.02"/>
    <n v="2685"/>
    <n v="41"/>
  </r>
  <r>
    <x v="22"/>
    <x v="36"/>
    <x v="3"/>
    <n v="1.85"/>
    <n v="530.25"/>
    <n v="0.01"/>
    <n v="0.02"/>
    <n v="2866"/>
    <n v="42"/>
  </r>
  <r>
    <x v="22"/>
    <x v="35"/>
    <x v="3"/>
    <n v="1.83"/>
    <n v="102.19"/>
    <n v="0.01"/>
    <n v="0"/>
    <n v="558"/>
    <n v="43"/>
  </r>
  <r>
    <x v="22"/>
    <x v="54"/>
    <x v="3"/>
    <n v="1.71"/>
    <n v="186.48"/>
    <n v="0.01"/>
    <n v="0.01"/>
    <n v="1091"/>
    <n v="44"/>
  </r>
  <r>
    <x v="22"/>
    <x v="46"/>
    <x v="3"/>
    <n v="1.59"/>
    <n v="556.72"/>
    <n v="0.01"/>
    <n v="0.02"/>
    <n v="3501"/>
    <n v="45"/>
  </r>
  <r>
    <x v="22"/>
    <x v="43"/>
    <x v="3"/>
    <n v="1.49"/>
    <n v="196.1"/>
    <n v="0.01"/>
    <n v="0.01"/>
    <n v="1316"/>
    <n v="46"/>
  </r>
  <r>
    <x v="22"/>
    <x v="33"/>
    <x v="3"/>
    <n v="1.34"/>
    <n v="24.38"/>
    <n v="0.01"/>
    <n v="0"/>
    <n v="182"/>
    <n v="47"/>
  </r>
  <r>
    <x v="22"/>
    <x v="47"/>
    <x v="3"/>
    <n v="1.2"/>
    <n v="214.05"/>
    <n v="0.01"/>
    <n v="0.01"/>
    <n v="1784"/>
    <n v="48"/>
  </r>
  <r>
    <x v="22"/>
    <x v="41"/>
    <x v="3"/>
    <n v="1.05"/>
    <n v="321.83999999999997"/>
    <n v="0"/>
    <n v="0.01"/>
    <n v="3065"/>
    <n v="49"/>
  </r>
  <r>
    <x v="22"/>
    <x v="45"/>
    <x v="3"/>
    <n v="1.04"/>
    <n v="322.36"/>
    <n v="0"/>
    <n v="0.01"/>
    <n v="3100"/>
    <n v="50"/>
  </r>
  <r>
    <x v="22"/>
    <x v="40"/>
    <x v="3"/>
    <n v="1.03"/>
    <n v="351.03"/>
    <n v="0"/>
    <n v="0.01"/>
    <n v="3408"/>
    <n v="51"/>
  </r>
  <r>
    <x v="22"/>
    <x v="69"/>
    <x v="3"/>
    <n v="0.85"/>
    <n v="103.43"/>
    <n v="0"/>
    <n v="0"/>
    <n v="1217"/>
    <n v="52"/>
  </r>
  <r>
    <x v="22"/>
    <x v="39"/>
    <x v="3"/>
    <n v="0.84"/>
    <n v="13.5"/>
    <n v="0"/>
    <n v="0"/>
    <n v="161"/>
    <n v="53"/>
  </r>
  <r>
    <x v="22"/>
    <x v="48"/>
    <x v="3"/>
    <n v="0.74"/>
    <n v="48.49"/>
    <n v="0"/>
    <n v="0"/>
    <n v="655"/>
    <n v="54"/>
  </r>
  <r>
    <x v="22"/>
    <x v="44"/>
    <x v="3"/>
    <n v="0.74"/>
    <n v="65.61"/>
    <n v="0"/>
    <n v="0"/>
    <n v="887"/>
    <n v="54"/>
  </r>
  <r>
    <x v="22"/>
    <x v="50"/>
    <x v="3"/>
    <n v="0.74"/>
    <n v="22.34"/>
    <n v="0"/>
    <n v="0"/>
    <n v="302"/>
    <n v="54"/>
  </r>
  <r>
    <x v="22"/>
    <x v="51"/>
    <x v="3"/>
    <n v="0.69"/>
    <n v="185.37"/>
    <n v="0"/>
    <n v="0.01"/>
    <n v="2687"/>
    <n v="57"/>
  </r>
  <r>
    <x v="22"/>
    <x v="81"/>
    <x v="3"/>
    <n v="0.68"/>
    <n v="63.34"/>
    <n v="0"/>
    <n v="0"/>
    <n v="931"/>
    <n v="58"/>
  </r>
  <r>
    <x v="22"/>
    <x v="88"/>
    <x v="3"/>
    <n v="0.65"/>
    <n v="14.36"/>
    <n v="0"/>
    <n v="0"/>
    <n v="221"/>
    <n v="59"/>
  </r>
  <r>
    <x v="22"/>
    <x v="64"/>
    <x v="3"/>
    <n v="0.65"/>
    <n v="35.130000000000003"/>
    <n v="0"/>
    <n v="0"/>
    <n v="540"/>
    <n v="59"/>
  </r>
  <r>
    <x v="22"/>
    <x v="37"/>
    <x v="3"/>
    <n v="0.63"/>
    <n v="209.46"/>
    <n v="0"/>
    <n v="0.01"/>
    <n v="3325"/>
    <n v="61"/>
  </r>
  <r>
    <x v="22"/>
    <x v="42"/>
    <x v="3"/>
    <n v="0.59"/>
    <n v="202.22"/>
    <n v="0"/>
    <n v="0.01"/>
    <n v="3427"/>
    <n v="62"/>
  </r>
  <r>
    <x v="22"/>
    <x v="67"/>
    <x v="3"/>
    <n v="0.51"/>
    <n v="609.35"/>
    <n v="0"/>
    <n v="0.02"/>
    <n v="11948"/>
    <n v="63"/>
  </r>
  <r>
    <x v="22"/>
    <x v="80"/>
    <x v="3"/>
    <n v="0.42"/>
    <n v="35.89"/>
    <n v="0"/>
    <n v="0"/>
    <n v="855"/>
    <n v="64"/>
  </r>
  <r>
    <x v="22"/>
    <x v="84"/>
    <x v="3"/>
    <n v="0.39"/>
    <n v="59.55"/>
    <n v="0"/>
    <n v="0"/>
    <n v="1527"/>
    <n v="65"/>
  </r>
  <r>
    <x v="22"/>
    <x v="56"/>
    <x v="3"/>
    <n v="0.34"/>
    <n v="120.01"/>
    <n v="0"/>
    <n v="0"/>
    <n v="3530"/>
    <n v="66"/>
  </r>
  <r>
    <x v="22"/>
    <x v="97"/>
    <x v="3"/>
    <n v="0.32"/>
    <n v="155.6"/>
    <n v="0"/>
    <n v="0.01"/>
    <n v="4863"/>
    <n v="67"/>
  </r>
  <r>
    <x v="22"/>
    <x v="61"/>
    <x v="3"/>
    <n v="0.28999999999999998"/>
    <n v="20.69"/>
    <n v="0"/>
    <n v="0"/>
    <n v="713"/>
    <n v="68"/>
  </r>
  <r>
    <x v="22"/>
    <x v="55"/>
    <x v="3"/>
    <n v="0.28000000000000003"/>
    <n v="76.430000000000007"/>
    <n v="0"/>
    <n v="0"/>
    <n v="2730"/>
    <n v="69"/>
  </r>
  <r>
    <x v="22"/>
    <x v="60"/>
    <x v="3"/>
    <n v="0.27"/>
    <n v="137.77000000000001"/>
    <n v="0"/>
    <n v="0"/>
    <n v="5103"/>
    <n v="70"/>
  </r>
  <r>
    <x v="22"/>
    <x v="94"/>
    <x v="3"/>
    <n v="0.24"/>
    <n v="37.33"/>
    <n v="0"/>
    <n v="0"/>
    <n v="1555"/>
    <n v="71"/>
  </r>
  <r>
    <x v="22"/>
    <x v="100"/>
    <x v="3"/>
    <n v="0.22"/>
    <n v="20.059999999999999"/>
    <n v="0"/>
    <n v="0"/>
    <n v="912"/>
    <n v="72"/>
  </r>
  <r>
    <x v="22"/>
    <x v="52"/>
    <x v="3"/>
    <n v="0.2"/>
    <n v="50.26"/>
    <n v="0"/>
    <n v="0"/>
    <n v="2513"/>
    <n v="73"/>
  </r>
  <r>
    <x v="22"/>
    <x v="62"/>
    <x v="3"/>
    <n v="0.16"/>
    <n v="145.30000000000001"/>
    <n v="0"/>
    <n v="0"/>
    <n v="9081"/>
    <n v="74"/>
  </r>
  <r>
    <x v="22"/>
    <x v="83"/>
    <x v="3"/>
    <n v="0.14000000000000001"/>
    <n v="47.44"/>
    <n v="0"/>
    <n v="0"/>
    <n v="3389"/>
    <n v="75"/>
  </r>
  <r>
    <x v="22"/>
    <x v="68"/>
    <x v="3"/>
    <n v="0.14000000000000001"/>
    <n v="48.74"/>
    <n v="0"/>
    <n v="0"/>
    <n v="3481"/>
    <n v="75"/>
  </r>
  <r>
    <x v="22"/>
    <x v="57"/>
    <x v="3"/>
    <n v="0.13"/>
    <n v="7.43"/>
    <n v="0"/>
    <n v="0"/>
    <n v="572"/>
    <n v="77"/>
  </r>
  <r>
    <x v="22"/>
    <x v="95"/>
    <x v="3"/>
    <n v="0.12"/>
    <n v="23.26"/>
    <n v="0"/>
    <n v="0"/>
    <n v="1938"/>
    <n v="78"/>
  </r>
  <r>
    <x v="22"/>
    <x v="63"/>
    <x v="3"/>
    <n v="0.12"/>
    <n v="45.14"/>
    <n v="0"/>
    <n v="0"/>
    <n v="3762"/>
    <n v="78"/>
  </r>
  <r>
    <x v="22"/>
    <x v="66"/>
    <x v="3"/>
    <n v="0.1"/>
    <n v="3.54"/>
    <n v="0"/>
    <n v="0"/>
    <n v="354"/>
    <n v="80"/>
  </r>
  <r>
    <x v="22"/>
    <x v="72"/>
    <x v="3"/>
    <n v="0.09"/>
    <n v="24.99"/>
    <n v="0"/>
    <n v="0"/>
    <n v="2777"/>
    <n v="81"/>
  </r>
  <r>
    <x v="22"/>
    <x v="53"/>
    <x v="3"/>
    <n v="0.09"/>
    <n v="29.51"/>
    <n v="0"/>
    <n v="0"/>
    <n v="3279"/>
    <n v="81"/>
  </r>
  <r>
    <x v="22"/>
    <x v="92"/>
    <x v="3"/>
    <n v="7.0000000000000007E-2"/>
    <n v="4.62"/>
    <n v="0"/>
    <n v="0"/>
    <n v="660"/>
    <n v="83"/>
  </r>
  <r>
    <x v="22"/>
    <x v="86"/>
    <x v="3"/>
    <n v="7.0000000000000007E-2"/>
    <n v="7.57"/>
    <n v="0"/>
    <n v="0"/>
    <n v="1081"/>
    <n v="83"/>
  </r>
  <r>
    <x v="22"/>
    <x v="77"/>
    <x v="3"/>
    <n v="0.06"/>
    <n v="6.04"/>
    <n v="0"/>
    <n v="0"/>
    <n v="1007"/>
    <n v="85"/>
  </r>
  <r>
    <x v="22"/>
    <x v="93"/>
    <x v="3"/>
    <n v="0.05"/>
    <n v="4.9000000000000004"/>
    <n v="0"/>
    <n v="0"/>
    <n v="980"/>
    <n v="86"/>
  </r>
  <r>
    <x v="22"/>
    <x v="101"/>
    <x v="3"/>
    <n v="0.04"/>
    <n v="1.05"/>
    <n v="0"/>
    <n v="0"/>
    <n v="263"/>
    <n v="87"/>
  </r>
  <r>
    <x v="22"/>
    <x v="71"/>
    <x v="3"/>
    <n v="0.03"/>
    <n v="15.54"/>
    <n v="0"/>
    <n v="0"/>
    <n v="5180"/>
    <n v="88"/>
  </r>
  <r>
    <x v="22"/>
    <x v="96"/>
    <x v="3"/>
    <n v="0.03"/>
    <n v="2.61"/>
    <n v="0"/>
    <n v="0"/>
    <n v="870"/>
    <n v="88"/>
  </r>
  <r>
    <x v="22"/>
    <x v="99"/>
    <x v="3"/>
    <n v="0.03"/>
    <n v="5.49"/>
    <n v="0"/>
    <n v="0"/>
    <n v="1830"/>
    <n v="88"/>
  </r>
  <r>
    <x v="22"/>
    <x v="102"/>
    <x v="3"/>
    <n v="0.03"/>
    <n v="15.77"/>
    <n v="0"/>
    <n v="0"/>
    <n v="5257"/>
    <n v="88"/>
  </r>
  <r>
    <x v="22"/>
    <x v="103"/>
    <x v="3"/>
    <n v="0.02"/>
    <n v="3.23"/>
    <n v="0"/>
    <n v="0"/>
    <n v="1615"/>
    <n v="92"/>
  </r>
  <r>
    <x v="22"/>
    <x v="104"/>
    <x v="3"/>
    <n v="0.02"/>
    <n v="3.26"/>
    <n v="0"/>
    <n v="0"/>
    <n v="1630"/>
    <n v="92"/>
  </r>
  <r>
    <x v="22"/>
    <x v="105"/>
    <x v="3"/>
    <n v="0.02"/>
    <n v="3.12"/>
    <n v="0"/>
    <n v="0"/>
    <n v="1560"/>
    <n v="92"/>
  </r>
  <r>
    <x v="22"/>
    <x v="106"/>
    <x v="3"/>
    <n v="0.02"/>
    <n v="7.24"/>
    <n v="0"/>
    <n v="0"/>
    <n v="3620"/>
    <n v="92"/>
  </r>
  <r>
    <x v="23"/>
    <x v="0"/>
    <x v="0"/>
    <n v="11185.1"/>
    <n v="1426253.67"/>
    <n v="45.64"/>
    <n v="47.82"/>
    <n v="1275"/>
    <n v="1"/>
  </r>
  <r>
    <x v="23"/>
    <x v="1"/>
    <x v="1"/>
    <n v="7907.38"/>
    <n v="1007463.72"/>
    <n v="32.26"/>
    <n v="33.78"/>
    <n v="1274"/>
    <n v="2"/>
  </r>
  <r>
    <x v="23"/>
    <x v="2"/>
    <x v="2"/>
    <n v="1967.9"/>
    <n v="204761.41"/>
    <n v="8.0299999999999994"/>
    <n v="6.87"/>
    <n v="1041"/>
    <n v="3"/>
  </r>
  <r>
    <x v="23"/>
    <x v="4"/>
    <x v="3"/>
    <n v="1078.8800000000001"/>
    <n v="52512.85"/>
    <n v="4.4000000000000004"/>
    <n v="1.76"/>
    <n v="487"/>
    <n v="4"/>
  </r>
  <r>
    <x v="23"/>
    <x v="14"/>
    <x v="3"/>
    <n v="421.87"/>
    <n v="20363.259999999998"/>
    <n v="1.72"/>
    <n v="0.68"/>
    <n v="483"/>
    <n v="5"/>
  </r>
  <r>
    <x v="23"/>
    <x v="13"/>
    <x v="3"/>
    <n v="253.69"/>
    <n v="28778.19"/>
    <n v="1.04"/>
    <n v="0.96"/>
    <n v="1134"/>
    <n v="6"/>
  </r>
  <r>
    <x v="23"/>
    <x v="7"/>
    <x v="3"/>
    <n v="223.31"/>
    <n v="3022.8"/>
    <n v="0.91"/>
    <n v="0.1"/>
    <n v="135"/>
    <n v="7"/>
  </r>
  <r>
    <x v="23"/>
    <x v="9"/>
    <x v="3"/>
    <n v="183.69"/>
    <n v="13948.48"/>
    <n v="0.75"/>
    <n v="0.47"/>
    <n v="759"/>
    <n v="8"/>
  </r>
  <r>
    <x v="23"/>
    <x v="5"/>
    <x v="3"/>
    <n v="146.78"/>
    <n v="14023.93"/>
    <n v="0.6"/>
    <n v="0.47"/>
    <n v="955"/>
    <n v="9"/>
  </r>
  <r>
    <x v="23"/>
    <x v="3"/>
    <x v="3"/>
    <n v="143.94"/>
    <n v="57398.05"/>
    <n v="0.59"/>
    <n v="1.92"/>
    <n v="3988"/>
    <n v="10"/>
  </r>
  <r>
    <x v="23"/>
    <x v="10"/>
    <x v="3"/>
    <n v="137.79"/>
    <n v="17139.080000000002"/>
    <n v="0.56000000000000005"/>
    <n v="0.56999999999999995"/>
    <n v="1244"/>
    <n v="11"/>
  </r>
  <r>
    <x v="23"/>
    <x v="6"/>
    <x v="3"/>
    <n v="95.93"/>
    <n v="11037.13"/>
    <n v="0.39"/>
    <n v="0.37"/>
    <n v="1151"/>
    <n v="12"/>
  </r>
  <r>
    <x v="23"/>
    <x v="20"/>
    <x v="3"/>
    <n v="78.55"/>
    <n v="6993.52"/>
    <n v="0.32"/>
    <n v="0.23"/>
    <n v="890"/>
    <n v="13"/>
  </r>
  <r>
    <x v="23"/>
    <x v="11"/>
    <x v="3"/>
    <n v="71.989999999999995"/>
    <n v="17803.18"/>
    <n v="0.28999999999999998"/>
    <n v="0.6"/>
    <n v="2473"/>
    <n v="14"/>
  </r>
  <r>
    <x v="23"/>
    <x v="16"/>
    <x v="3"/>
    <n v="68.61"/>
    <n v="8083.03"/>
    <n v="0.28000000000000003"/>
    <n v="0.27"/>
    <n v="1178"/>
    <n v="15"/>
  </r>
  <r>
    <x v="23"/>
    <x v="8"/>
    <x v="3"/>
    <n v="63.6"/>
    <n v="22343.65"/>
    <n v="0.26"/>
    <n v="0.75"/>
    <n v="3513"/>
    <n v="16"/>
  </r>
  <r>
    <x v="23"/>
    <x v="22"/>
    <x v="3"/>
    <n v="53.07"/>
    <n v="4719.34"/>
    <n v="0.22"/>
    <n v="0.16"/>
    <n v="889"/>
    <n v="17"/>
  </r>
  <r>
    <x v="23"/>
    <x v="12"/>
    <x v="3"/>
    <n v="50.53"/>
    <n v="9003.4699999999993"/>
    <n v="0.21"/>
    <n v="0.3"/>
    <n v="1782"/>
    <n v="18"/>
  </r>
  <r>
    <x v="23"/>
    <x v="21"/>
    <x v="3"/>
    <n v="29.57"/>
    <n v="7162.74"/>
    <n v="0.12"/>
    <n v="0.24"/>
    <n v="2422"/>
    <n v="19"/>
  </r>
  <r>
    <x v="23"/>
    <x v="85"/>
    <x v="3"/>
    <n v="20.350000000000001"/>
    <n v="2483.4699999999998"/>
    <n v="0.08"/>
    <n v="0.08"/>
    <n v="1220"/>
    <n v="20"/>
  </r>
  <r>
    <x v="23"/>
    <x v="24"/>
    <x v="3"/>
    <n v="18.79"/>
    <n v="1999.14"/>
    <n v="0.08"/>
    <n v="7.0000000000000007E-2"/>
    <n v="1064"/>
    <n v="21"/>
  </r>
  <r>
    <x v="23"/>
    <x v="89"/>
    <x v="3"/>
    <n v="17.239999999999998"/>
    <n v="384.97"/>
    <n v="7.0000000000000007E-2"/>
    <n v="0.01"/>
    <n v="223"/>
    <n v="22"/>
  </r>
  <r>
    <x v="23"/>
    <x v="19"/>
    <x v="3"/>
    <n v="16.52"/>
    <n v="3806.13"/>
    <n v="7.0000000000000007E-2"/>
    <n v="0.13"/>
    <n v="2304"/>
    <n v="23"/>
  </r>
  <r>
    <x v="23"/>
    <x v="32"/>
    <x v="3"/>
    <n v="15.26"/>
    <n v="1252.78"/>
    <n v="0.06"/>
    <n v="0.04"/>
    <n v="821"/>
    <n v="24"/>
  </r>
  <r>
    <x v="23"/>
    <x v="17"/>
    <x v="3"/>
    <n v="14.86"/>
    <n v="11757.57"/>
    <n v="0.06"/>
    <n v="0.39"/>
    <n v="7912"/>
    <n v="25"/>
  </r>
  <r>
    <x v="23"/>
    <x v="15"/>
    <x v="3"/>
    <n v="14.66"/>
    <n v="1262.8800000000001"/>
    <n v="0.06"/>
    <n v="0.04"/>
    <n v="861"/>
    <n v="26"/>
  </r>
  <r>
    <x v="23"/>
    <x v="23"/>
    <x v="3"/>
    <n v="10.58"/>
    <n v="730.93"/>
    <n v="0.04"/>
    <n v="0.02"/>
    <n v="691"/>
    <n v="27"/>
  </r>
  <r>
    <x v="23"/>
    <x v="25"/>
    <x v="3"/>
    <n v="10.199999999999999"/>
    <n v="3161.72"/>
    <n v="0.04"/>
    <n v="0.11"/>
    <n v="3100"/>
    <n v="28"/>
  </r>
  <r>
    <x v="23"/>
    <x v="79"/>
    <x v="3"/>
    <n v="5.91"/>
    <n v="465.65"/>
    <n v="0.02"/>
    <n v="0.02"/>
    <n v="788"/>
    <n v="29"/>
  </r>
  <r>
    <x v="23"/>
    <x v="29"/>
    <x v="3"/>
    <n v="5.53"/>
    <n v="355.84"/>
    <n v="0.02"/>
    <n v="0.01"/>
    <n v="643"/>
    <n v="30"/>
  </r>
  <r>
    <x v="23"/>
    <x v="26"/>
    <x v="3"/>
    <n v="5.0999999999999996"/>
    <n v="834.52"/>
    <n v="0.02"/>
    <n v="0.03"/>
    <n v="1636"/>
    <n v="31"/>
  </r>
  <r>
    <x v="23"/>
    <x v="27"/>
    <x v="3"/>
    <n v="4.99"/>
    <n v="1062.3800000000001"/>
    <n v="0.02"/>
    <n v="0.04"/>
    <n v="2129"/>
    <n v="32"/>
  </r>
  <r>
    <x v="23"/>
    <x v="38"/>
    <x v="3"/>
    <n v="4.58"/>
    <n v="624.28"/>
    <n v="0.02"/>
    <n v="0.02"/>
    <n v="1363"/>
    <n v="33"/>
  </r>
  <r>
    <x v="23"/>
    <x v="28"/>
    <x v="3"/>
    <n v="4.3099999999999996"/>
    <n v="1195.31"/>
    <n v="0.02"/>
    <n v="0.04"/>
    <n v="2773"/>
    <n v="34"/>
  </r>
  <r>
    <x v="23"/>
    <x v="18"/>
    <x v="3"/>
    <n v="3.6"/>
    <n v="145.41"/>
    <n v="0.01"/>
    <n v="0"/>
    <n v="404"/>
    <n v="35"/>
  </r>
  <r>
    <x v="23"/>
    <x v="34"/>
    <x v="3"/>
    <n v="3.3"/>
    <n v="2653.88"/>
    <n v="0.01"/>
    <n v="0.09"/>
    <n v="8042"/>
    <n v="36"/>
  </r>
  <r>
    <x v="23"/>
    <x v="65"/>
    <x v="3"/>
    <n v="3.13"/>
    <n v="318.23"/>
    <n v="0.01"/>
    <n v="0.01"/>
    <n v="1017"/>
    <n v="37"/>
  </r>
  <r>
    <x v="23"/>
    <x v="82"/>
    <x v="3"/>
    <n v="3.12"/>
    <n v="1112.6199999999999"/>
    <n v="0.01"/>
    <n v="0.04"/>
    <n v="3566"/>
    <n v="38"/>
  </r>
  <r>
    <x v="23"/>
    <x v="49"/>
    <x v="3"/>
    <n v="2.84"/>
    <n v="603.39"/>
    <n v="0.01"/>
    <n v="0.02"/>
    <n v="2125"/>
    <n v="39"/>
  </r>
  <r>
    <x v="23"/>
    <x v="30"/>
    <x v="3"/>
    <n v="2.4500000000000002"/>
    <n v="626.83000000000004"/>
    <n v="0.01"/>
    <n v="0.02"/>
    <n v="2558"/>
    <n v="40"/>
  </r>
  <r>
    <x v="23"/>
    <x v="47"/>
    <x v="3"/>
    <n v="2.12"/>
    <n v="219.23"/>
    <n v="0.01"/>
    <n v="0.01"/>
    <n v="1034"/>
    <n v="41"/>
  </r>
  <r>
    <x v="23"/>
    <x v="36"/>
    <x v="3"/>
    <n v="2.0299999999999998"/>
    <n v="545.58000000000004"/>
    <n v="0.01"/>
    <n v="0.02"/>
    <n v="2688"/>
    <n v="42"/>
  </r>
  <r>
    <x v="23"/>
    <x v="31"/>
    <x v="3"/>
    <n v="2.0099999999999998"/>
    <n v="525.84"/>
    <n v="0.01"/>
    <n v="0.02"/>
    <n v="2616"/>
    <n v="43"/>
  </r>
  <r>
    <x v="23"/>
    <x v="35"/>
    <x v="3"/>
    <n v="1.87"/>
    <n v="104.04"/>
    <n v="0.01"/>
    <n v="0"/>
    <n v="556"/>
    <n v="44"/>
  </r>
  <r>
    <x v="23"/>
    <x v="46"/>
    <x v="3"/>
    <n v="1.82"/>
    <n v="585.73"/>
    <n v="0.01"/>
    <n v="0.02"/>
    <n v="3218"/>
    <n v="45"/>
  </r>
  <r>
    <x v="23"/>
    <x v="33"/>
    <x v="3"/>
    <n v="1.31"/>
    <n v="24.03"/>
    <n v="0.01"/>
    <n v="0"/>
    <n v="183"/>
    <n v="46"/>
  </r>
  <r>
    <x v="23"/>
    <x v="43"/>
    <x v="3"/>
    <n v="1.27"/>
    <n v="209.12"/>
    <n v="0.01"/>
    <n v="0.01"/>
    <n v="1647"/>
    <n v="47"/>
  </r>
  <r>
    <x v="23"/>
    <x v="39"/>
    <x v="3"/>
    <n v="1.25"/>
    <n v="16.05"/>
    <n v="0.01"/>
    <n v="0"/>
    <n v="128"/>
    <n v="48"/>
  </r>
  <r>
    <x v="23"/>
    <x v="45"/>
    <x v="3"/>
    <n v="1.24"/>
    <n v="365.84"/>
    <n v="0.01"/>
    <n v="0.01"/>
    <n v="2950"/>
    <n v="49"/>
  </r>
  <r>
    <x v="23"/>
    <x v="40"/>
    <x v="3"/>
    <n v="1.1100000000000001"/>
    <n v="357.83"/>
    <n v="0"/>
    <n v="0.01"/>
    <n v="3224"/>
    <n v="50"/>
  </r>
  <r>
    <x v="23"/>
    <x v="41"/>
    <x v="3"/>
    <n v="1.1100000000000001"/>
    <n v="332.96"/>
    <n v="0"/>
    <n v="0.01"/>
    <n v="3000"/>
    <n v="50"/>
  </r>
  <r>
    <x v="23"/>
    <x v="48"/>
    <x v="3"/>
    <n v="1.04"/>
    <n v="64.260000000000005"/>
    <n v="0"/>
    <n v="0"/>
    <n v="618"/>
    <n v="52"/>
  </r>
  <r>
    <x v="23"/>
    <x v="54"/>
    <x v="3"/>
    <n v="0.99"/>
    <n v="133.74"/>
    <n v="0"/>
    <n v="0"/>
    <n v="1351"/>
    <n v="53"/>
  </r>
  <r>
    <x v="23"/>
    <x v="69"/>
    <x v="3"/>
    <n v="0.83"/>
    <n v="107.33"/>
    <n v="0"/>
    <n v="0"/>
    <n v="1293"/>
    <n v="54"/>
  </r>
  <r>
    <x v="23"/>
    <x v="64"/>
    <x v="3"/>
    <n v="0.73"/>
    <n v="39.71"/>
    <n v="0"/>
    <n v="0"/>
    <n v="544"/>
    <n v="55"/>
  </r>
  <r>
    <x v="23"/>
    <x v="51"/>
    <x v="3"/>
    <n v="0.72"/>
    <n v="187.53"/>
    <n v="0"/>
    <n v="0.01"/>
    <n v="2605"/>
    <n v="56"/>
  </r>
  <r>
    <x v="23"/>
    <x v="81"/>
    <x v="3"/>
    <n v="0.63"/>
    <n v="57.75"/>
    <n v="0"/>
    <n v="0"/>
    <n v="917"/>
    <n v="57"/>
  </r>
  <r>
    <x v="23"/>
    <x v="44"/>
    <x v="3"/>
    <n v="0.59"/>
    <n v="56.73"/>
    <n v="0"/>
    <n v="0"/>
    <n v="962"/>
    <n v="58"/>
  </r>
  <r>
    <x v="23"/>
    <x v="67"/>
    <x v="3"/>
    <n v="0.59"/>
    <n v="545.4"/>
    <n v="0"/>
    <n v="0.02"/>
    <n v="9244"/>
    <n v="58"/>
  </r>
  <r>
    <x v="23"/>
    <x v="88"/>
    <x v="3"/>
    <n v="0.57999999999999996"/>
    <n v="11.57"/>
    <n v="0"/>
    <n v="0"/>
    <n v="199"/>
    <n v="60"/>
  </r>
  <r>
    <x v="23"/>
    <x v="37"/>
    <x v="3"/>
    <n v="0.56000000000000005"/>
    <n v="152.26"/>
    <n v="0"/>
    <n v="0.01"/>
    <n v="2719"/>
    <n v="61"/>
  </r>
  <r>
    <x v="23"/>
    <x v="42"/>
    <x v="3"/>
    <n v="0.53"/>
    <n v="182.03"/>
    <n v="0"/>
    <n v="0.01"/>
    <n v="3435"/>
    <n v="62"/>
  </r>
  <r>
    <x v="23"/>
    <x v="80"/>
    <x v="3"/>
    <n v="0.45"/>
    <n v="35.619999999999997"/>
    <n v="0"/>
    <n v="0"/>
    <n v="792"/>
    <n v="63"/>
  </r>
  <r>
    <x v="23"/>
    <x v="52"/>
    <x v="3"/>
    <n v="0.43"/>
    <n v="99.51"/>
    <n v="0"/>
    <n v="0"/>
    <n v="2314"/>
    <n v="64"/>
  </r>
  <r>
    <x v="23"/>
    <x v="84"/>
    <x v="3"/>
    <n v="0.43"/>
    <n v="66.69"/>
    <n v="0"/>
    <n v="0"/>
    <n v="1551"/>
    <n v="64"/>
  </r>
  <r>
    <x v="23"/>
    <x v="97"/>
    <x v="3"/>
    <n v="0.4"/>
    <n v="206.26"/>
    <n v="0"/>
    <n v="0.01"/>
    <n v="5157"/>
    <n v="66"/>
  </r>
  <r>
    <x v="23"/>
    <x v="56"/>
    <x v="3"/>
    <n v="0.37"/>
    <n v="123.53"/>
    <n v="0"/>
    <n v="0"/>
    <n v="3339"/>
    <n v="67"/>
  </r>
  <r>
    <x v="23"/>
    <x v="55"/>
    <x v="3"/>
    <n v="0.33"/>
    <n v="86.94"/>
    <n v="0"/>
    <n v="0"/>
    <n v="2635"/>
    <n v="68"/>
  </r>
  <r>
    <x v="23"/>
    <x v="60"/>
    <x v="3"/>
    <n v="0.31"/>
    <n v="151.08000000000001"/>
    <n v="0"/>
    <n v="0.01"/>
    <n v="4874"/>
    <n v="69"/>
  </r>
  <r>
    <x v="23"/>
    <x v="101"/>
    <x v="3"/>
    <n v="0.28999999999999998"/>
    <n v="4.01"/>
    <n v="0"/>
    <n v="0"/>
    <n v="138"/>
    <n v="70"/>
  </r>
  <r>
    <x v="23"/>
    <x v="61"/>
    <x v="3"/>
    <n v="0.28999999999999998"/>
    <n v="20.57"/>
    <n v="0"/>
    <n v="0"/>
    <n v="709"/>
    <n v="70"/>
  </r>
  <r>
    <x v="23"/>
    <x v="77"/>
    <x v="3"/>
    <n v="0.26"/>
    <n v="97.96"/>
    <n v="0"/>
    <n v="0"/>
    <n v="3768"/>
    <n v="72"/>
  </r>
  <r>
    <x v="23"/>
    <x v="50"/>
    <x v="3"/>
    <n v="0.2"/>
    <n v="23.33"/>
    <n v="0"/>
    <n v="0"/>
    <n v="1167"/>
    <n v="73"/>
  </r>
  <r>
    <x v="23"/>
    <x v="62"/>
    <x v="3"/>
    <n v="0.19"/>
    <n v="133.25"/>
    <n v="0"/>
    <n v="0"/>
    <n v="7013"/>
    <n v="74"/>
  </r>
  <r>
    <x v="23"/>
    <x v="94"/>
    <x v="3"/>
    <n v="0.16"/>
    <n v="25.19"/>
    <n v="0"/>
    <n v="0"/>
    <n v="1574"/>
    <n v="75"/>
  </r>
  <r>
    <x v="23"/>
    <x v="83"/>
    <x v="3"/>
    <n v="0.16"/>
    <n v="52.18"/>
    <n v="0"/>
    <n v="0"/>
    <n v="3261"/>
    <n v="75"/>
  </r>
  <r>
    <x v="23"/>
    <x v="68"/>
    <x v="3"/>
    <n v="0.14000000000000001"/>
    <n v="48.44"/>
    <n v="0"/>
    <n v="0"/>
    <n v="3460"/>
    <n v="77"/>
  </r>
  <r>
    <x v="23"/>
    <x v="57"/>
    <x v="3"/>
    <n v="0.12"/>
    <n v="6.62"/>
    <n v="0"/>
    <n v="0"/>
    <n v="552"/>
    <n v="78"/>
  </r>
  <r>
    <x v="23"/>
    <x v="95"/>
    <x v="3"/>
    <n v="0.12"/>
    <n v="20.92"/>
    <n v="0"/>
    <n v="0"/>
    <n v="1743"/>
    <n v="78"/>
  </r>
  <r>
    <x v="23"/>
    <x v="66"/>
    <x v="3"/>
    <n v="0.11"/>
    <n v="3.8"/>
    <n v="0"/>
    <n v="0"/>
    <n v="345"/>
    <n v="80"/>
  </r>
  <r>
    <x v="23"/>
    <x v="72"/>
    <x v="3"/>
    <n v="0.09"/>
    <n v="25.73"/>
    <n v="0"/>
    <n v="0"/>
    <n v="2859"/>
    <n v="81"/>
  </r>
  <r>
    <x v="23"/>
    <x v="63"/>
    <x v="3"/>
    <n v="0.09"/>
    <n v="34.6"/>
    <n v="0"/>
    <n v="0"/>
    <n v="3844"/>
    <n v="81"/>
  </r>
  <r>
    <x v="23"/>
    <x v="53"/>
    <x v="3"/>
    <n v="0.08"/>
    <n v="27.81"/>
    <n v="0"/>
    <n v="0"/>
    <n v="3476"/>
    <n v="83"/>
  </r>
  <r>
    <x v="23"/>
    <x v="86"/>
    <x v="3"/>
    <n v="0.08"/>
    <n v="8.0299999999999994"/>
    <n v="0"/>
    <n v="0"/>
    <n v="1004"/>
    <n v="83"/>
  </r>
  <r>
    <x v="23"/>
    <x v="92"/>
    <x v="3"/>
    <n v="7.0000000000000007E-2"/>
    <n v="6.35"/>
    <n v="0"/>
    <n v="0"/>
    <n v="907"/>
    <n v="85"/>
  </r>
  <r>
    <x v="23"/>
    <x v="100"/>
    <x v="3"/>
    <n v="0.05"/>
    <n v="3.25"/>
    <n v="0"/>
    <n v="0"/>
    <n v="650"/>
    <n v="86"/>
  </r>
  <r>
    <x v="23"/>
    <x v="93"/>
    <x v="3"/>
    <n v="0.05"/>
    <n v="4.7"/>
    <n v="0"/>
    <n v="0"/>
    <n v="940"/>
    <n v="86"/>
  </r>
  <r>
    <x v="23"/>
    <x v="104"/>
    <x v="3"/>
    <n v="0.04"/>
    <n v="5.97"/>
    <n v="0"/>
    <n v="0"/>
    <n v="1493"/>
    <n v="88"/>
  </r>
  <r>
    <x v="23"/>
    <x v="96"/>
    <x v="3"/>
    <n v="0.04"/>
    <n v="2.93"/>
    <n v="0"/>
    <n v="0"/>
    <n v="733"/>
    <n v="88"/>
  </r>
  <r>
    <x v="23"/>
    <x v="71"/>
    <x v="3"/>
    <n v="0.03"/>
    <n v="15.76"/>
    <n v="0"/>
    <n v="0"/>
    <n v="5253"/>
    <n v="90"/>
  </r>
  <r>
    <x v="23"/>
    <x v="103"/>
    <x v="3"/>
    <n v="0.03"/>
    <n v="4.1100000000000003"/>
    <n v="0"/>
    <n v="0"/>
    <n v="1370"/>
    <n v="90"/>
  </r>
  <r>
    <x v="23"/>
    <x v="105"/>
    <x v="3"/>
    <n v="0.02"/>
    <n v="3.43"/>
    <n v="0"/>
    <n v="0"/>
    <n v="1715"/>
    <n v="9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s v="FY17"/>
    <n v="21"/>
    <n v="0"/>
    <n v="0"/>
    <n v="343"/>
    <n v="0"/>
    <m/>
    <m/>
    <m/>
  </r>
  <r>
    <x v="1"/>
    <s v="FY17"/>
    <n v="25"/>
    <n v="0"/>
    <n v="0"/>
    <n v="3627"/>
    <n v="0"/>
    <n v="0"/>
    <m/>
    <m/>
  </r>
  <r>
    <x v="2"/>
    <s v="FY17"/>
    <n v="26"/>
    <n v="0"/>
    <n v="0"/>
    <n v="4857"/>
    <n v="0"/>
    <n v="11.1"/>
    <m/>
    <m/>
  </r>
  <r>
    <x v="3"/>
    <s v="FY17"/>
    <n v="30"/>
    <n v="0"/>
    <n v="1E-3"/>
    <n v="3464"/>
    <n v="0"/>
    <n v="190"/>
    <m/>
    <m/>
  </r>
  <r>
    <x v="4"/>
    <s v="FY17"/>
    <n v="35"/>
    <n v="2E-3"/>
    <n v="7.0000000000000001E-3"/>
    <n v="3557"/>
    <n v="0.1"/>
    <n v="586.20000000000005"/>
    <m/>
    <m/>
  </r>
  <r>
    <x v="5"/>
    <s v="FY17"/>
    <n v="36"/>
    <n v="4.0000000000000001E-3"/>
    <n v="1.7000000000000001E-2"/>
    <n v="3803"/>
    <n v="0.1"/>
    <n v="124.1"/>
    <m/>
    <m/>
  </r>
  <r>
    <x v="6"/>
    <s v="FY17"/>
    <n v="44"/>
    <n v="4.0000000000000001E-3"/>
    <n v="1.9E-2"/>
    <n v="4424"/>
    <n v="0.2"/>
    <n v="-1.8"/>
    <m/>
    <m/>
  </r>
  <r>
    <x v="7"/>
    <s v="FY17"/>
    <n v="44"/>
    <n v="6.0000000000000001E-3"/>
    <n v="2.4E-2"/>
    <n v="3807"/>
    <n v="0.2"/>
    <n v="45.4"/>
    <m/>
    <m/>
  </r>
  <r>
    <x v="8"/>
    <s v="FY18"/>
    <n v="48"/>
    <n v="7.0000000000000001E-3"/>
    <n v="2.3E-2"/>
    <n v="3155"/>
    <n v="0.2"/>
    <n v="13"/>
    <m/>
    <m/>
  </r>
  <r>
    <x v="9"/>
    <s v="FY18"/>
    <n v="49"/>
    <n v="8.9999999999999993E-3"/>
    <n v="2.8000000000000001E-2"/>
    <n v="2988"/>
    <n v="0.3"/>
    <n v="30"/>
    <m/>
    <m/>
  </r>
  <r>
    <x v="10"/>
    <s v="FY18"/>
    <n v="52"/>
    <n v="0.01"/>
    <n v="3.1E-2"/>
    <n v="2994"/>
    <n v="0.3"/>
    <n v="10.6"/>
    <m/>
    <m/>
  </r>
  <r>
    <x v="11"/>
    <s v="FY18"/>
    <n v="53"/>
    <n v="1.2E-2"/>
    <n v="3.4000000000000002E-2"/>
    <n v="2933"/>
    <n v="0.4"/>
    <n v="12.4"/>
    <m/>
    <m/>
  </r>
  <r>
    <x v="12"/>
    <s v="FY18"/>
    <n v="55"/>
    <n v="1.7000000000000001E-2"/>
    <n v="4.2000000000000003E-2"/>
    <n v="2474"/>
    <n v="0.5"/>
    <n v="44.5"/>
    <n v="18566.7"/>
    <n v="134418.4"/>
  </r>
  <r>
    <x v="13"/>
    <s v="FY18"/>
    <n v="57"/>
    <n v="3.1E-2"/>
    <n v="5.2999999999999999E-2"/>
    <n v="1719"/>
    <n v="1"/>
    <n v="84.4"/>
    <n v="34322.199999999997"/>
    <n v="16216.8"/>
  </r>
  <r>
    <x v="14"/>
    <s v="FY18"/>
    <n v="60"/>
    <n v="7.6999999999999999E-2"/>
    <n v="7.0999999999999994E-2"/>
    <n v="917"/>
    <n v="2.5"/>
    <n v="148.4"/>
    <n v="76860"/>
    <n v="14431.2"/>
  </r>
  <r>
    <x v="15"/>
    <s v="FY18"/>
    <n v="61"/>
    <n v="0.105"/>
    <n v="9.7000000000000003E-2"/>
    <n v="921"/>
    <n v="3.5"/>
    <n v="36.5"/>
    <n v="36113.800000000003"/>
    <n v="9525.1"/>
  </r>
  <r>
    <x v="16"/>
    <s v="FY18"/>
    <n v="67"/>
    <n v="0.14599999999999999"/>
    <n v="0.13200000000000001"/>
    <n v="905"/>
    <n v="4.7"/>
    <n v="38.700000000000003"/>
    <n v="7218.6"/>
    <n v="1761"/>
  </r>
  <r>
    <x v="17"/>
    <s v="FY18"/>
    <n v="71"/>
    <n v="0.152"/>
    <n v="0.156"/>
    <n v="1026"/>
    <n v="4.9000000000000004"/>
    <n v="4.3"/>
    <n v="3304.3"/>
    <n v="818"/>
  </r>
  <r>
    <x v="18"/>
    <s v="FY18"/>
    <n v="86"/>
    <n v="0.17100000000000001"/>
    <n v="0.191"/>
    <n v="1116"/>
    <n v="6.1"/>
    <n v="12.9"/>
    <n v="3813.2"/>
    <n v="887.1"/>
  </r>
  <r>
    <x v="19"/>
    <s v="FY18"/>
    <n v="91"/>
    <n v="0.17799999999999999"/>
    <n v="0.24199999999999999"/>
    <n v="1358"/>
    <n v="5.7"/>
    <n v="3.9"/>
    <n v="2695.1"/>
    <n v="896.8"/>
  </r>
  <r>
    <x v="20"/>
    <s v="FY19"/>
    <n v="97"/>
    <n v="0.19"/>
    <n v="0.27"/>
    <n v="1422"/>
    <n v="6.3"/>
    <n v="6.8"/>
    <n v="2540"/>
    <n v="1089.7"/>
  </r>
  <r>
    <x v="21"/>
    <s v="FY19"/>
    <n v="101"/>
    <n v="0.189"/>
    <n v="0.33300000000000002"/>
    <n v="1757"/>
    <n v="6.1"/>
    <n v="-0.3"/>
    <n v="1924.4"/>
    <n v="1090.0999999999999"/>
  </r>
  <r>
    <x v="22"/>
    <s v="FY19"/>
    <n v="110"/>
    <n v="0.246"/>
    <n v="0.40799999999999997"/>
    <n v="1657"/>
    <n v="8.1999999999999993"/>
    <n v="30"/>
    <n v="2280.4"/>
    <n v="1217.9000000000001"/>
  </r>
  <r>
    <x v="23"/>
    <s v="FY19"/>
    <n v="114"/>
    <n v="0.27400000000000002"/>
    <n v="0.51800000000000002"/>
    <n v="1894"/>
    <n v="8.8000000000000007"/>
    <n v="11.1"/>
    <n v="2253.8000000000002"/>
    <n v="1419.7"/>
  </r>
  <r>
    <x v="24"/>
    <s v="FY19"/>
    <n v="114"/>
    <n v="0.312"/>
    <n v="0.54200000000000004"/>
    <n v="1737"/>
    <n v="10.1"/>
    <n v="14"/>
    <n v="1757.3"/>
    <n v="1204.2"/>
  </r>
  <r>
    <x v="25"/>
    <s v="FY19"/>
    <n v="122"/>
    <n v="0.40600000000000003"/>
    <n v="0.59799999999999998"/>
    <n v="1474"/>
    <n v="13.5"/>
    <n v="30.1"/>
    <n v="1210.0999999999999"/>
    <n v="1023.5"/>
  </r>
  <r>
    <x v="26"/>
    <s v="FY19"/>
    <n v="128"/>
    <n v="0.48199999999999998"/>
    <n v="0.75"/>
    <n v="1554"/>
    <n v="15.6"/>
    <n v="18.8"/>
    <n v="526.79999999999995"/>
    <n v="962.3"/>
  </r>
  <r>
    <x v="27"/>
    <s v="FY19"/>
    <n v="128"/>
    <n v="0.52500000000000002"/>
    <n v="0.82199999999999995"/>
    <n v="1567"/>
    <n v="17.5"/>
    <n v="8.8000000000000007"/>
    <n v="399.8"/>
    <n v="750.4"/>
  </r>
  <r>
    <x v="28"/>
    <s v="FY19"/>
    <n v="129"/>
    <n v="0.62"/>
    <n v="1.026"/>
    <n v="1654"/>
    <n v="20"/>
    <n v="18.100000000000001"/>
    <n v="325.8"/>
    <n v="678.8"/>
  </r>
  <r>
    <x v="29"/>
    <s v="FY19"/>
    <n v="134"/>
    <n v="0.67300000000000004"/>
    <n v="1.099"/>
    <n v="1634"/>
    <n v="21.7"/>
    <n v="8.5"/>
    <n v="343.1"/>
    <n v="606"/>
  </r>
  <r>
    <x v="30"/>
    <s v="FY19"/>
    <n v="139"/>
    <n v="0.67400000000000004"/>
    <n v="1.0669999999999999"/>
    <n v="1583"/>
    <n v="24.1"/>
    <n v="0.2"/>
    <n v="293.3"/>
    <n v="458.1"/>
  </r>
  <r>
    <x v="31"/>
    <s v="FY19"/>
    <n v="142"/>
    <n v="0.8"/>
    <n v="1.335"/>
    <n v="1669"/>
    <n v="25.8"/>
    <n v="18.600000000000001"/>
    <n v="349.1"/>
    <n v="452.1"/>
  </r>
  <r>
    <x v="32"/>
    <s v="FY20"/>
    <n v="144"/>
    <n v="0.78200000000000003"/>
    <n v="1.42"/>
    <n v="1817"/>
    <n v="26.1"/>
    <n v="-2.2000000000000002"/>
    <n v="311.3"/>
    <n v="425.6"/>
  </r>
  <r>
    <x v="33"/>
    <s v="FY20"/>
    <n v="143"/>
    <n v="0.73399999999999999"/>
    <n v="1.524"/>
    <n v="2078"/>
    <n v="23.7"/>
    <n v="-6.2"/>
    <n v="287.10000000000002"/>
    <n v="358"/>
  </r>
  <r>
    <x v="34"/>
    <s v="FY20"/>
    <n v="142"/>
    <n v="0.755"/>
    <n v="1.466"/>
    <n v="1942"/>
    <n v="25.2"/>
    <n v="2.9"/>
    <n v="206.3"/>
    <n v="258.89999999999998"/>
  </r>
  <r>
    <x v="35"/>
    <s v="FY20"/>
    <n v="143"/>
    <n v="0.82199999999999995"/>
    <n v="1.464"/>
    <n v="1780"/>
    <n v="26.5"/>
    <n v="9"/>
    <n v="200.4"/>
    <n v="182.4"/>
  </r>
  <r>
    <x v="36"/>
    <s v="FY20"/>
    <n v="141"/>
    <n v="0.91800000000000004"/>
    <n v="1.5449999999999999"/>
    <n v="1682"/>
    <n v="29.6"/>
    <n v="11.7"/>
    <n v="194.3"/>
    <n v="185"/>
  </r>
  <r>
    <x v="37"/>
    <s v="FY20"/>
    <n v="141"/>
    <n v="0.95499999999999996"/>
    <n v="1.615"/>
    <n v="1691"/>
    <n v="31.8"/>
    <n v="4"/>
    <n v="135.30000000000001"/>
    <n v="169.8"/>
  </r>
  <r>
    <x v="38"/>
    <s v="FY20"/>
    <n v="141"/>
    <n v="1.1479999999999999"/>
    <n v="1.9139999999999999"/>
    <n v="1666"/>
    <n v="37"/>
    <n v="20.2"/>
    <n v="138.1"/>
    <n v="155.19999999999999"/>
  </r>
  <r>
    <x v="39"/>
    <s v="FY20"/>
    <n v="143"/>
    <n v="1.2190000000000001"/>
    <n v="1.8919999999999999"/>
    <n v="1553"/>
    <n v="40.6"/>
    <n v="6.1"/>
    <n v="132.19999999999999"/>
    <n v="130.1"/>
  </r>
  <r>
    <x v="40"/>
    <s v="FY20"/>
    <n v="143"/>
    <n v="1.3080000000000001"/>
    <n v="2.0249999999999999"/>
    <n v="1548"/>
    <n v="42.2"/>
    <n v="7.4"/>
    <n v="111"/>
    <n v="97.4"/>
  </r>
  <r>
    <x v="41"/>
    <s v="FY20"/>
    <n v="144"/>
    <n v="1.3049999999999999"/>
    <n v="2.1619999999999999"/>
    <n v="1657"/>
    <n v="42.1"/>
    <n v="-0.3"/>
    <n v="94"/>
    <n v="96.7"/>
  </r>
  <r>
    <x v="42"/>
    <s v="FY20"/>
    <n v="146"/>
    <n v="1.3260000000000001"/>
    <n v="2.2250000000000001"/>
    <n v="1678"/>
    <n v="45.7"/>
    <n v="1.6"/>
    <n v="96.6"/>
    <n v="108.5"/>
  </r>
  <r>
    <x v="43"/>
    <s v="FY20"/>
    <n v="148"/>
    <n v="1.2470000000000001"/>
    <n v="2.0649999999999999"/>
    <n v="1656"/>
    <n v="40.200000000000003"/>
    <n v="-5.9"/>
    <n v="55.9"/>
    <n v="54.7"/>
  </r>
  <r>
    <x v="44"/>
    <s v="FY21"/>
    <n v="153"/>
    <n v="1"/>
    <n v="1.5109999999999999"/>
    <n v="1512"/>
    <n v="33.299999999999997"/>
    <n v="-19.8"/>
    <n v="27.9"/>
    <n v="6.4"/>
  </r>
  <r>
    <x v="45"/>
    <s v="FY21"/>
    <n v="155"/>
    <n v="1.2350000000000001"/>
    <n v="2.1840000000000002"/>
    <n v="1769"/>
    <n v="39.799999999999997"/>
    <n v="23.5"/>
    <n v="68.3"/>
    <n v="43.3"/>
  </r>
  <r>
    <x v="46"/>
    <s v="FY21"/>
    <n v="155"/>
    <n v="1.337"/>
    <n v="2.6179999999999999"/>
    <n v="1958"/>
    <n v="44.6"/>
    <n v="8.3000000000000007"/>
    <n v="77.2"/>
    <n v="78.599999999999994"/>
  </r>
  <r>
    <x v="47"/>
    <s v="FY21"/>
    <n v="164"/>
    <n v="1.4970000000000001"/>
    <n v="2.9049999999999998"/>
    <n v="1940"/>
    <n v="48.3"/>
    <n v="12"/>
    <n v="82.1"/>
    <n v="98.5"/>
  </r>
  <r>
    <x v="48"/>
    <s v="FY21"/>
    <n v="168"/>
    <n v="1.619"/>
    <n v="2.9830000000000001"/>
    <n v="1843"/>
    <n v="52.2"/>
    <n v="8.1"/>
    <n v="76.3"/>
    <n v="93.1"/>
  </r>
  <r>
    <x v="49"/>
    <s v="FY21"/>
    <n v="174"/>
    <n v="1.8"/>
    <n v="3.29"/>
    <n v="1828"/>
    <n v="60"/>
    <n v="11.2"/>
    <n v="88.5"/>
    <n v="103.8"/>
  </r>
  <r>
    <x v="50"/>
    <s v="FY21"/>
    <n v="189"/>
    <n v="2.0720000000000001"/>
    <n v="3.8610000000000002"/>
    <n v="1864"/>
    <n v="66.8"/>
    <n v="15.1"/>
    <n v="80.400000000000006"/>
    <n v="101.8"/>
  </r>
  <r>
    <x v="51"/>
    <s v="FY21"/>
    <n v="200"/>
    <n v="2.21"/>
    <n v="3.91"/>
    <n v="1769"/>
    <n v="73.7"/>
    <n v="6.7"/>
    <n v="81.3"/>
    <n v="106.6"/>
  </r>
  <r>
    <x v="52"/>
    <s v="FY21"/>
    <n v="207"/>
    <n v="2.234"/>
    <n v="4.1619999999999999"/>
    <n v="1863"/>
    <n v="72.099999999999994"/>
    <n v="1.1000000000000001"/>
    <n v="70.8"/>
    <n v="105.5"/>
  </r>
  <r>
    <x v="53"/>
    <s v="FY21"/>
    <n v="207"/>
    <n v="2.3029999999999999"/>
    <n v="4.3120000000000003"/>
    <n v="1872"/>
    <n v="74.3"/>
    <n v="3.1"/>
    <n v="76.5"/>
    <n v="99.4"/>
  </r>
  <r>
    <x v="54"/>
    <s v="FY21"/>
    <n v="213"/>
    <n v="2.2930000000000001"/>
    <n v="4.2510000000000003"/>
    <n v="1854"/>
    <n v="81.900000000000006"/>
    <n v="-0.4"/>
    <n v="73"/>
    <n v="91"/>
  </r>
  <r>
    <x v="55"/>
    <s v="FY21"/>
    <n v="216"/>
    <n v="2.7320000000000002"/>
    <n v="5.0490000000000004"/>
    <n v="1848"/>
    <n v="88.1"/>
    <n v="19.100000000000001"/>
    <n v="119.1"/>
    <n v="144.5"/>
  </r>
  <r>
    <x v="56"/>
    <s v="FY22"/>
    <n v="220"/>
    <n v="2.641"/>
    <n v="4.9370000000000003"/>
    <n v="1869"/>
    <n v="88"/>
    <n v="-3.3"/>
    <n v="164.2"/>
    <n v="226.6"/>
  </r>
  <r>
    <x v="57"/>
    <s v="FY22"/>
    <n v="224"/>
    <n v="2.54"/>
    <n v="4.9059999999999997"/>
    <n v="1932"/>
    <n v="81.900000000000006"/>
    <n v="-3.8"/>
    <n v="105.7"/>
    <n v="124.7"/>
  </r>
  <r>
    <x v="58"/>
    <s v="FY22"/>
    <n v="229"/>
    <n v="2.8079999999999998"/>
    <n v="5.4740000000000002"/>
    <n v="1950"/>
    <n v="93.6"/>
    <n v="10.6"/>
    <n v="110"/>
    <n v="109.1"/>
  </r>
  <r>
    <x v="59"/>
    <s v="FY22"/>
    <n v="235"/>
    <n v="3.2480000000000002"/>
    <n v="6.0629999999999997"/>
    <n v="1867"/>
    <n v="104.8"/>
    <n v="15.7"/>
    <n v="116.9"/>
    <n v="108.7"/>
  </r>
  <r>
    <x v="60"/>
    <s v="FY22"/>
    <n v="249"/>
    <n v="3.556"/>
    <n v="6.391"/>
    <n v="1798"/>
    <n v="114.7"/>
    <n v="9.5"/>
    <n v="119.6"/>
    <n v="114.2"/>
  </r>
  <r>
    <x v="61"/>
    <s v="FY22"/>
    <n v="259"/>
    <n v="3.6539999999999999"/>
    <n v="6.5439999999999996"/>
    <n v="1791"/>
    <n v="121.8"/>
    <n v="2.8"/>
    <n v="103"/>
    <n v="98.9"/>
  </r>
  <r>
    <x v="62"/>
    <s v="FY22"/>
    <n v="261"/>
    <n v="4.2190000000000003"/>
    <n v="7.7140000000000004"/>
    <n v="1829"/>
    <n v="136.1"/>
    <n v="15.4"/>
    <n v="103.6"/>
    <n v="99.8"/>
  </r>
  <r>
    <x v="63"/>
    <s v="FY22"/>
    <n v="274"/>
    <n v="4.1859999999999999"/>
    <n v="7.6840000000000002"/>
    <n v="1836"/>
    <n v="139.5"/>
    <n v="-0.8"/>
    <n v="89.4"/>
    <n v="96.5"/>
  </r>
  <r>
    <x v="64"/>
    <s v="FY22"/>
    <n v="282"/>
    <n v="4.5659999999999998"/>
    <n v="8.2680000000000007"/>
    <n v="1811"/>
    <n v="147.30000000000001"/>
    <n v="9.1"/>
    <n v="104.4"/>
    <n v="98.7"/>
  </r>
  <r>
    <x v="65"/>
    <s v="FY22"/>
    <n v="297"/>
    <n v="4.617"/>
    <n v="8.32"/>
    <n v="1802"/>
    <n v="148.9"/>
    <n v="1.1000000000000001"/>
    <n v="100.5"/>
    <n v="93"/>
  </r>
  <r>
    <x v="66"/>
    <s v="FY22"/>
    <n v="304"/>
    <n v="4.5270000000000001"/>
    <n v="8.2680000000000007"/>
    <n v="1826"/>
    <n v="161.69999999999999"/>
    <n v="-1.9"/>
    <n v="97.5"/>
    <n v="94.5"/>
  </r>
  <r>
    <x v="67"/>
    <s v="FY22"/>
    <n v="314"/>
    <n v="5.4059999999999997"/>
    <n v="9.6059999999999999"/>
    <n v="1777"/>
    <n v="174.4"/>
    <n v="19.399999999999999"/>
    <n v="97.9"/>
    <n v="90.3"/>
  </r>
  <r>
    <x v="68"/>
    <s v="FY23"/>
    <n v="316"/>
    <n v="5.5830000000000002"/>
    <n v="9.8330000000000002"/>
    <n v="1761"/>
    <n v="186.1"/>
    <n v="3.3"/>
    <n v="111.4"/>
    <n v="99.2"/>
  </r>
  <r>
    <x v="69"/>
    <s v="FY23"/>
    <n v="323"/>
    <n v="5.9550000000000001"/>
    <n v="10.414999999999999"/>
    <n v="1749"/>
    <n v="192.1"/>
    <n v="6.7"/>
    <n v="134.5"/>
    <n v="112.3"/>
  </r>
  <r>
    <x v="70"/>
    <s v="FY23"/>
    <n v="330"/>
    <n v="5.8630000000000004"/>
    <n v="10.144"/>
    <n v="1730"/>
    <n v="195.4"/>
    <n v="-1.6"/>
    <n v="108.8"/>
    <n v="85.3"/>
  </r>
  <r>
    <x v="71"/>
    <s v="FY23"/>
    <n v="338"/>
    <n v="6.2880000000000003"/>
    <n v="10.63"/>
    <n v="1690"/>
    <n v="202.9"/>
    <n v="7.3"/>
    <n v="93.6"/>
    <n v="75.3"/>
  </r>
  <r>
    <x v="72"/>
    <s v="FY23"/>
    <n v="346"/>
    <n v="6.58"/>
    <n v="10.728"/>
    <n v="1630"/>
    <n v="212.2"/>
    <n v="4.5999999999999996"/>
    <n v="85.1"/>
    <n v="67.900000000000006"/>
  </r>
  <r>
    <x v="73"/>
    <s v="FY23"/>
    <n v="358"/>
    <n v="6.7809999999999997"/>
    <n v="11.164"/>
    <n v="1646"/>
    <n v="226"/>
    <n v="3.1"/>
    <n v="85.6"/>
    <n v="70.599999999999994"/>
  </r>
  <r>
    <x v="74"/>
    <s v="FY23"/>
    <n v="365"/>
    <n v="7.3049999999999997"/>
    <n v="12.116"/>
    <n v="1658"/>
    <n v="235.7"/>
    <n v="7.7"/>
    <n v="73.2"/>
    <n v="57.1"/>
  </r>
  <r>
    <x v="75"/>
    <s v="FY23"/>
    <n v="376"/>
    <n v="7.3090000000000002"/>
    <n v="11.906000000000001"/>
    <n v="1629"/>
    <n v="243.6"/>
    <n v="0.1"/>
    <n v="74.599999999999994"/>
    <n v="54.9"/>
  </r>
  <r>
    <x v="76"/>
    <s v="FY23"/>
    <n v="382"/>
    <n v="7.8289999999999997"/>
    <n v="12.821"/>
    <n v="1637"/>
    <n v="252.6"/>
    <n v="7.1"/>
    <n v="71.5"/>
    <n v="55.1"/>
  </r>
  <r>
    <x v="77"/>
    <s v="FY23"/>
    <n v="385"/>
    <n v="8.0370000000000008"/>
    <n v="12.987"/>
    <n v="1616"/>
    <n v="259.3"/>
    <n v="2.6"/>
    <n v="74.099999999999994"/>
    <n v="56.1"/>
  </r>
  <r>
    <x v="78"/>
    <s v="FY23"/>
    <n v="390"/>
    <n v="7.5350000000000001"/>
    <n v="12.358000000000001"/>
    <n v="1640"/>
    <n v="269.10000000000002"/>
    <n v="-6.2"/>
    <n v="66.400000000000006"/>
    <n v="49.5"/>
  </r>
  <r>
    <x v="79"/>
    <s v="FY23"/>
    <n v="399"/>
    <n v="8.6850000000000005"/>
    <n v="14.103999999999999"/>
    <n v="1624"/>
    <n v="280.2"/>
    <n v="15.3"/>
    <n v="60.7"/>
    <n v="46.8"/>
  </r>
  <r>
    <x v="80"/>
    <s v="FY24"/>
    <n v="414"/>
    <n v="8.8629999999999995"/>
    <n v="14.154999999999999"/>
    <n v="1597"/>
    <n v="295.39999999999998"/>
    <n v="2"/>
    <n v="58.8"/>
    <n v="44"/>
  </r>
  <r>
    <x v="81"/>
    <s v="FY24"/>
    <n v="445"/>
    <n v="9.4149999999999991"/>
    <n v="14.891"/>
    <n v="1582"/>
    <n v="303.7"/>
    <n v="6.2"/>
    <n v="58.1"/>
    <n v="43"/>
  </r>
  <r>
    <x v="82"/>
    <s v="FY24"/>
    <n v="458"/>
    <n v="9.3350000000000009"/>
    <n v="14.755000000000001"/>
    <n v="1581"/>
    <n v="311.2"/>
    <n v="-0.9"/>
    <n v="59.2"/>
    <n v="45.5"/>
  </r>
  <r>
    <x v="83"/>
    <s v="FY24"/>
    <n v="473"/>
    <n v="9.9649999999999999"/>
    <n v="15.335000000000001"/>
    <n v="1539"/>
    <n v="321.39999999999998"/>
    <n v="6.7"/>
    <n v="58.5"/>
    <n v="44.3"/>
  </r>
  <r>
    <x v="84"/>
    <s v="FY24"/>
    <n v="484"/>
    <n v="10.586"/>
    <n v="15.765000000000001"/>
    <n v="1489"/>
    <n v="341.5"/>
    <n v="6.2"/>
    <n v="60.9"/>
    <n v="47"/>
  </r>
  <r>
    <x v="85"/>
    <s v="FY24"/>
    <n v="492"/>
    <n v="10.555999999999999"/>
    <n v="15.791"/>
    <n v="1496"/>
    <n v="351.9"/>
    <n v="-0.3"/>
    <n v="55.7"/>
    <n v="41.4"/>
  </r>
  <r>
    <x v="86"/>
    <s v="FY24"/>
    <n v="505"/>
    <n v="11.409000000000001"/>
    <n v="17.158000000000001"/>
    <n v="1504"/>
    <n v="368"/>
    <n v="8.1"/>
    <n v="56.2"/>
    <n v="41.6"/>
  </r>
  <r>
    <x v="87"/>
    <s v="FY24"/>
    <n v="516"/>
    <n v="11.234999999999999"/>
    <n v="17.396999999999998"/>
    <n v="1548"/>
    <n v="374.5"/>
    <n v="-1.5"/>
    <n v="53.7"/>
    <n v="46.1"/>
  </r>
  <r>
    <x v="88"/>
    <s v="FY24"/>
    <n v="522"/>
    <n v="12.02"/>
    <n v="18.228999999999999"/>
    <n v="1517"/>
    <n v="387.7"/>
    <n v="7"/>
    <n v="53.5"/>
    <n v="42.2"/>
  </r>
  <r>
    <x v="89"/>
    <s v="FY24"/>
    <n v="550"/>
    <n v="12.202999999999999"/>
    <n v="18.411000000000001"/>
    <n v="1509"/>
    <n v="393.6"/>
    <n v="1.5"/>
    <n v="51.8"/>
    <n v="41.8"/>
  </r>
  <r>
    <x v="90"/>
    <s v="FY24"/>
    <n v="560"/>
    <n v="12.103"/>
    <n v="18.279"/>
    <n v="1510"/>
    <n v="417.3"/>
    <n v="-0.8"/>
    <n v="60.6"/>
    <n v="47.9"/>
  </r>
  <r>
    <x v="91"/>
    <s v="FY24"/>
    <n v="572"/>
    <n v="13.44"/>
    <n v="19.783999999999999"/>
    <n v="1472"/>
    <n v="433.5"/>
    <n v="11"/>
    <n v="54.7"/>
    <n v="40.299999999999997"/>
  </r>
  <r>
    <x v="92"/>
    <s v="FY25"/>
    <n v="583"/>
    <n v="13.304"/>
    <n v="19.645"/>
    <n v="1477"/>
    <n v="443.5"/>
    <n v="-1"/>
    <n v="50.1"/>
    <n v="38.799999999999997"/>
  </r>
  <r>
    <x v="93"/>
    <s v="FY25"/>
    <n v="598"/>
    <n v="14.036"/>
    <n v="20.449000000000002"/>
    <n v="1457"/>
    <n v="452.8"/>
    <n v="5.5"/>
    <n v="49.1"/>
    <n v="37.299999999999997"/>
  </r>
  <r>
    <x v="94"/>
    <s v="FY25"/>
    <n v="602"/>
    <n v="13.885"/>
    <n v="20.071000000000002"/>
    <n v="1445"/>
    <n v="462.8"/>
    <n v="-1.1000000000000001"/>
    <n v="48.7"/>
    <n v="36"/>
  </r>
  <r>
    <x v="95"/>
    <s v="FY25"/>
    <n v="605"/>
    <n v="14.436"/>
    <n v="20.643000000000001"/>
    <n v="1430"/>
    <n v="465.7"/>
    <n v="4"/>
    <n v="44.9"/>
    <n v="34.6"/>
  </r>
  <r>
    <x v="96"/>
    <s v="FY25"/>
    <n v="608"/>
    <n v="14.962999999999999"/>
    <n v="20.606999999999999"/>
    <n v="1377"/>
    <n v="482.7"/>
    <n v="3.7"/>
    <n v="41.3"/>
    <n v="30.7"/>
  </r>
  <r>
    <x v="97"/>
    <s v="FY25"/>
    <n v="622"/>
    <n v="15.042"/>
    <n v="20.64"/>
    <n v="1372"/>
    <n v="501.4"/>
    <n v="0.5"/>
    <n v="42.5"/>
    <n v="30.7"/>
  </r>
  <r>
    <x v="98"/>
    <s v="FY25"/>
    <n v="632"/>
    <n v="16.585000000000001"/>
    <n v="23.498000000000001"/>
    <n v="1417"/>
    <n v="535"/>
    <n v="10.3"/>
    <n v="45.4"/>
    <n v="37"/>
  </r>
  <r>
    <x v="99"/>
    <s v="FY25"/>
    <n v="637"/>
    <n v="15.481999999999999"/>
    <n v="21.552"/>
    <n v="1392"/>
    <n v="516.1"/>
    <n v="-6.7"/>
    <n v="37.799999999999997"/>
    <n v="23.9"/>
  </r>
  <r>
    <x v="100"/>
    <s v="FY25"/>
    <n v="641"/>
    <n v="16.73"/>
    <n v="23.247"/>
    <n v="1390"/>
    <n v="539.70000000000005"/>
    <n v="8.1"/>
    <n v="39.200000000000003"/>
    <n v="27.5"/>
  </r>
  <r>
    <x v="101"/>
    <s v="FY25"/>
    <n v="647"/>
    <n v="16.995999999999999"/>
    <n v="23.48"/>
    <n v="1382"/>
    <n v="548.29999999999995"/>
    <n v="1.6"/>
    <n v="39.299999999999997"/>
    <n v="27.5"/>
  </r>
  <r>
    <x v="102"/>
    <s v="FY25"/>
    <n v="653"/>
    <n v="16.106000000000002"/>
    <n v="21.965"/>
    <n v="1364"/>
    <n v="575.20000000000005"/>
    <n v="-5.2"/>
    <n v="33.1"/>
    <n v="20.2"/>
  </r>
  <r>
    <x v="103"/>
    <s v="FY25"/>
    <n v="661"/>
    <n v="18.302"/>
    <n v="24.771999999999998"/>
    <n v="1354"/>
    <n v="590.4"/>
    <n v="13.6"/>
    <n v="36.200000000000003"/>
    <n v="25.2"/>
  </r>
  <r>
    <x v="104"/>
    <s v="FY26"/>
    <n v="668"/>
    <n v="17.893000000000001"/>
    <n v="23.949000000000002"/>
    <n v="1338"/>
    <n v="596.4"/>
    <n v="-2.2000000000000002"/>
    <n v="34.5"/>
    <n v="21.9"/>
  </r>
  <r>
    <x v="105"/>
    <s v="FY26"/>
    <n v="673"/>
    <n v="18.677"/>
    <n v="25.143000000000001"/>
    <n v="1346"/>
    <n v="602.5"/>
    <n v="4.4000000000000004"/>
    <n v="33.1"/>
    <n v="23"/>
  </r>
  <r>
    <x v="106"/>
    <s v="FY26"/>
    <n v="675"/>
    <n v="18.395"/>
    <n v="24.039000000000001"/>
    <n v="1307"/>
    <n v="613.20000000000005"/>
    <n v="-1.5"/>
    <n v="32.5"/>
    <n v="19.8"/>
  </r>
  <r>
    <x v="107"/>
    <s v="FY26"/>
    <n v="684"/>
    <n v="19.468"/>
    <n v="25.085000000000001"/>
    <n v="1289"/>
    <n v="628"/>
    <n v="5.8"/>
    <n v="34.9"/>
    <n v="21.5"/>
  </r>
  <r>
    <x v="108"/>
    <s v="FY26"/>
    <n v="688"/>
    <n v="20.007999999999999"/>
    <n v="24.855"/>
    <n v="1242"/>
    <n v="645.4"/>
    <n v="2.8"/>
    <n v="33.700000000000003"/>
    <n v="20.6"/>
  </r>
  <r>
    <x v="109"/>
    <s v="FY26"/>
    <n v="686"/>
    <n v="19.632999999999999"/>
    <n v="24.896999999999998"/>
    <n v="1268"/>
    <n v="654.4"/>
    <n v="-1.9"/>
    <n v="30.5"/>
    <n v="20.6"/>
  </r>
  <r>
    <x v="110"/>
    <s v="FY26"/>
    <n v="683"/>
    <n v="20.701000000000001"/>
    <n v="27.277999999999999"/>
    <n v="1318"/>
    <n v="667.8"/>
    <n v="5.4"/>
    <n v="24.8"/>
    <n v="16.100000000000001"/>
  </r>
  <r>
    <x v="111"/>
    <s v="FY26"/>
    <n v="684"/>
    <n v="20.466999999999999"/>
    <n v="26.315999999999999"/>
    <n v="1286"/>
    <n v="682.2"/>
    <n v="-1.1000000000000001"/>
    <n v="32.200000000000003"/>
    <n v="22.1"/>
  </r>
  <r>
    <x v="112"/>
    <s v="FY26"/>
    <n v="685"/>
    <n v="21.635000000000002"/>
    <n v="27.966999999999999"/>
    <n v="1293"/>
    <n v="697.9"/>
    <n v="5.7"/>
    <n v="29.3"/>
    <n v="20.3"/>
  </r>
  <r>
    <x v="113"/>
    <s v="FY26"/>
    <n v="691"/>
    <n v="21.702999999999999"/>
    <n v="28.335000000000001"/>
    <n v="1306"/>
    <n v="700.1"/>
    <n v="0.3"/>
    <n v="27.7"/>
    <n v="20.7"/>
  </r>
  <r>
    <x v="114"/>
    <s v="FY26"/>
    <n v="694"/>
    <n v="20.393999999999998"/>
    <n v="26.841999999999999"/>
    <n v="1316"/>
    <n v="728.4"/>
    <n v="-6"/>
    <n v="26.6"/>
    <n v="22.2"/>
  </r>
  <r>
    <x v="115"/>
    <s v="FY26"/>
    <n v="705"/>
    <n v="22.640999999999998"/>
    <n v="29.524999999999999"/>
    <n v="1304"/>
    <n v="730.4"/>
    <n v="11"/>
    <n v="23.7"/>
    <n v="19.2"/>
  </r>
  <r>
    <x v="116"/>
    <s v="FY27"/>
    <n v="713"/>
    <n v="22.347000000000001"/>
    <n v="29.03"/>
    <n v="1299"/>
    <n v="744.9"/>
    <n v="-1.3"/>
    <n v="24.9"/>
    <n v="21.2"/>
  </r>
  <r>
    <x v="117"/>
    <s v="FY27"/>
    <n v="720"/>
    <n v="23.202000000000002"/>
    <n v="29.904"/>
    <n v="1289"/>
    <n v="748.4"/>
    <n v="3.8"/>
    <n v="24.2"/>
    <n v="18.899999999999999"/>
  </r>
  <r>
    <x v="118"/>
    <s v="FY27"/>
    <n v="731"/>
    <n v="22.716000000000001"/>
    <n v="28.920999999999999"/>
    <n v="1273"/>
    <n v="757.2"/>
    <n v="-2.1"/>
    <n v="23.5"/>
    <n v="20.3"/>
  </r>
  <r>
    <x v="119"/>
    <s v="FY27"/>
    <n v="741"/>
    <n v="23.658000000000001"/>
    <n v="29.879000000000001"/>
    <n v="1263"/>
    <n v="763.2"/>
    <n v="4.0999999999999996"/>
    <n v="21.5"/>
    <n v="19.100000000000001"/>
  </r>
  <r>
    <x v="120"/>
    <s v="FY27"/>
    <n v="752"/>
    <n v="24.509"/>
    <n v="29.824000000000002"/>
    <n v="1217"/>
    <n v="790.6"/>
    <n v="3.6"/>
    <n v="22.5"/>
    <n v="20"/>
  </r>
  <r>
    <x v="121"/>
    <s v="FY27"/>
    <n v="756"/>
    <n v="24.068000000000001"/>
    <n v="29.373999999999999"/>
    <n v="1220"/>
    <n v="802.3"/>
    <n v="-1.8"/>
    <n v="22.6"/>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B05E65-13BA-43E4-9A91-C190EACBE95E}"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126" firstHeaderRow="0" firstDataRow="1" firstDataCol="1"/>
  <pivotFields count="10">
    <pivotField axis="axisRow" numFmtId="17"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dataField="1" showAll="0"/>
    <pivotField dataField="1" showAll="0"/>
    <pivotField showAll="0"/>
    <pivotField showAll="0"/>
    <pivotField showAll="0"/>
    <pivotField showAll="0"/>
    <pivotField showAll="0"/>
  </pivotFields>
  <rowFields count="1">
    <field x="0"/>
  </rowFields>
  <rowItems count="1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t="grand">
      <x/>
    </i>
  </rowItems>
  <colFields count="1">
    <field x="-2"/>
  </colFields>
  <colItems count="2">
    <i>
      <x/>
    </i>
    <i i="1">
      <x v="1"/>
    </i>
  </colItems>
  <dataFields count="2">
    <dataField name="Volume (bn)" fld="3" baseField="0" baseItem="0"/>
    <dataField name="Value (₹ lakh cr)" fld="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F4B44-BDC7-47D8-AF49-CAFB1963E6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A3:BD29" firstHeaderRow="1" firstDataRow="2" firstDataCol="1"/>
  <pivotFields count="7">
    <pivotField axis="axisRow" numFmtId="17"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showAll="0">
      <items count="3">
        <item x="1"/>
        <item x="0"/>
        <item t="default"/>
      </items>
    </pivotField>
    <pivotField showAll="0"/>
    <pivotField showAll="0"/>
    <pivotField showAll="0"/>
    <pivotField dataField="1"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
  </colFields>
  <colItems count="3">
    <i>
      <x/>
    </i>
    <i>
      <x v="1"/>
    </i>
    <i t="grand">
      <x/>
    </i>
  </colItems>
  <dataFields count="1">
    <dataField name="Sum of value_share_pct" fld="5"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6FB01E-89C3-4EC7-9BF3-B91F6A9ABA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N3:AQ29" firstHeaderRow="1" firstDataRow="2" firstDataCol="1"/>
  <pivotFields count="7">
    <pivotField axis="axisRow" numFmtId="17"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showAll="0">
      <items count="3">
        <item x="1"/>
        <item x="0"/>
        <item t="default"/>
      </items>
    </pivotField>
    <pivotField showAll="0"/>
    <pivotField showAll="0"/>
    <pivotField dataField="1"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
  </colFields>
  <colItems count="3">
    <i>
      <x/>
    </i>
    <i>
      <x v="1"/>
    </i>
    <i t="grand">
      <x/>
    </i>
  </colItems>
  <dataFields count="1">
    <dataField name="Sum of volume_share_pct" fld="4"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AD3ED-2473-45B1-BF33-D7DCD23DAFF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chartFormat="5">
  <location ref="V35:W46" firstHeaderRow="1" firstDataRow="1" firstDataCol="1" rowPageCount="1" colPageCount="1"/>
  <pivotFields count="9">
    <pivotField axis="axisPage" numFmtId="14" multipleItemSelectionAllowed="1" showAll="0">
      <items count="25">
        <item h="1" x="0"/>
        <item h="1" x="1"/>
        <item h="1" x="2"/>
        <item h="1" x="3"/>
        <item h="1" x="4"/>
        <item h="1" x="5"/>
        <item h="1" x="6"/>
        <item h="1" x="7"/>
        <item h="1" x="8"/>
        <item h="1" x="9"/>
        <item h="1" x="10"/>
        <item h="1" x="11"/>
        <item h="1" x="12"/>
        <item h="1" x="13"/>
        <item h="1" x="14"/>
        <item h="1" x="15"/>
        <item h="1" x="16"/>
        <item h="1" x="17"/>
        <item h="1" x="18"/>
        <item h="1" x="19"/>
        <item h="1" x="20"/>
        <item h="1" x="21"/>
        <item h="1" x="22"/>
        <item x="23"/>
        <item t="default"/>
      </items>
    </pivotField>
    <pivotField axis="axisRow" showAll="0" measureFilter="1" sortType="descending">
      <items count="108">
        <item x="39"/>
        <item x="15"/>
        <item x="74"/>
        <item x="6"/>
        <item x="45"/>
        <item x="5"/>
        <item x="19"/>
        <item x="36"/>
        <item x="56"/>
        <item x="83"/>
        <item x="65"/>
        <item x="13"/>
        <item x="28"/>
        <item x="37"/>
        <item x="77"/>
        <item x="73"/>
        <item x="62"/>
        <item x="3"/>
        <item x="92"/>
        <item x="42"/>
        <item x="27"/>
        <item x="57"/>
        <item x="46"/>
        <item x="72"/>
        <item x="76"/>
        <item x="7"/>
        <item x="95"/>
        <item x="25"/>
        <item x="75"/>
        <item x="44"/>
        <item x="18"/>
        <item x="70"/>
        <item x="78"/>
        <item x="1"/>
        <item x="17"/>
        <item x="11"/>
        <item x="106"/>
        <item x="43"/>
        <item x="8"/>
        <item x="60"/>
        <item x="22"/>
        <item x="82"/>
        <item x="24"/>
        <item x="31"/>
        <item x="53"/>
        <item x="47"/>
        <item x="38"/>
        <item x="88"/>
        <item x="29"/>
        <item x="99"/>
        <item x="26"/>
        <item x="55"/>
        <item x="68"/>
        <item x="49"/>
        <item x="10"/>
        <item x="81"/>
        <item x="89"/>
        <item x="105"/>
        <item x="93"/>
        <item x="16"/>
        <item x="79"/>
        <item x="4"/>
        <item x="59"/>
        <item x="103"/>
        <item x="61"/>
        <item x="84"/>
        <item x="35"/>
        <item x="67"/>
        <item x="91"/>
        <item x="2"/>
        <item x="86"/>
        <item x="0"/>
        <item x="32"/>
        <item x="30"/>
        <item x="71"/>
        <item x="64"/>
        <item x="34"/>
        <item x="98"/>
        <item x="101"/>
        <item x="94"/>
        <item x="69"/>
        <item x="23"/>
        <item x="97"/>
        <item x="48"/>
        <item x="20"/>
        <item x="100"/>
        <item x="41"/>
        <item x="80"/>
        <item x="54"/>
        <item x="102"/>
        <item x="21"/>
        <item x="14"/>
        <item x="50"/>
        <item x="63"/>
        <item x="52"/>
        <item x="33"/>
        <item x="66"/>
        <item x="90"/>
        <item x="51"/>
        <item x="58"/>
        <item x="104"/>
        <item x="40"/>
        <item x="85"/>
        <item x="87"/>
        <item x="9"/>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1"/>
  </rowFields>
  <rowItems count="11">
    <i>
      <x v="71"/>
    </i>
    <i>
      <x v="33"/>
    </i>
    <i>
      <x v="69"/>
    </i>
    <i>
      <x v="61"/>
    </i>
    <i>
      <x v="91"/>
    </i>
    <i>
      <x v="11"/>
    </i>
    <i>
      <x v="25"/>
    </i>
    <i>
      <x v="104"/>
    </i>
    <i>
      <x v="5"/>
    </i>
    <i>
      <x v="17"/>
    </i>
    <i t="grand">
      <x/>
    </i>
  </rowItems>
  <colItems count="1">
    <i/>
  </colItems>
  <pageFields count="1">
    <pageField fld="0" hier="-1"/>
  </pageFields>
  <dataFields count="1">
    <dataField name="Sum of vol_share_pct" fld="5"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3BB48C-28C9-4F88-B2BA-F625E131135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3:AA29" firstHeaderRow="1" firstDataRow="2" firstDataCol="1"/>
  <pivotFields count="9">
    <pivotField axis="axisRow" numFmtId="17"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08">
        <item x="39"/>
        <item x="15"/>
        <item x="74"/>
        <item x="6"/>
        <item x="45"/>
        <item x="5"/>
        <item x="19"/>
        <item x="36"/>
        <item x="56"/>
        <item x="83"/>
        <item x="65"/>
        <item x="13"/>
        <item x="28"/>
        <item x="37"/>
        <item x="77"/>
        <item x="73"/>
        <item x="62"/>
        <item x="3"/>
        <item x="92"/>
        <item x="42"/>
        <item x="27"/>
        <item x="57"/>
        <item x="46"/>
        <item x="72"/>
        <item x="76"/>
        <item x="7"/>
        <item x="95"/>
        <item x="25"/>
        <item x="75"/>
        <item x="44"/>
        <item x="18"/>
        <item x="70"/>
        <item x="78"/>
        <item x="1"/>
        <item x="17"/>
        <item x="11"/>
        <item x="106"/>
        <item x="43"/>
        <item x="8"/>
        <item x="60"/>
        <item x="22"/>
        <item x="82"/>
        <item x="24"/>
        <item x="31"/>
        <item x="53"/>
        <item x="47"/>
        <item x="38"/>
        <item x="88"/>
        <item x="29"/>
        <item x="99"/>
        <item x="26"/>
        <item x="55"/>
        <item x="68"/>
        <item x="49"/>
        <item x="10"/>
        <item x="81"/>
        <item x="89"/>
        <item x="105"/>
        <item x="93"/>
        <item x="16"/>
        <item x="79"/>
        <item x="4"/>
        <item x="59"/>
        <item x="103"/>
        <item x="61"/>
        <item x="84"/>
        <item x="35"/>
        <item x="67"/>
        <item x="91"/>
        <item x="2"/>
        <item x="86"/>
        <item x="0"/>
        <item x="32"/>
        <item x="30"/>
        <item x="71"/>
        <item x="64"/>
        <item x="34"/>
        <item x="98"/>
        <item x="101"/>
        <item x="94"/>
        <item x="69"/>
        <item x="23"/>
        <item x="97"/>
        <item x="48"/>
        <item x="20"/>
        <item x="100"/>
        <item x="41"/>
        <item x="80"/>
        <item x="54"/>
        <item x="102"/>
        <item x="21"/>
        <item x="14"/>
        <item x="50"/>
        <item x="63"/>
        <item x="52"/>
        <item x="33"/>
        <item x="66"/>
        <item x="90"/>
        <item x="51"/>
        <item x="58"/>
        <item x="104"/>
        <item x="40"/>
        <item x="85"/>
        <item x="87"/>
        <item x="9"/>
        <item x="12"/>
        <item x="96"/>
        <item t="default"/>
      </items>
    </pivotField>
    <pivotField axis="axisCol" showAll="0">
      <items count="5">
        <item x="3"/>
        <item x="1"/>
        <item x="2"/>
        <item x="0"/>
        <item t="default"/>
      </items>
    </pivotField>
    <pivotField showAll="0"/>
    <pivotField showAll="0"/>
    <pivotField dataField="1" showAll="0"/>
    <pivotField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5">
    <i>
      <x/>
    </i>
    <i>
      <x v="1"/>
    </i>
    <i>
      <x v="2"/>
    </i>
    <i>
      <x v="3"/>
    </i>
    <i t="grand">
      <x/>
    </i>
  </colItems>
  <dataFields count="1">
    <dataField name="Sum of vol_share_pct" fld="5" baseField="0" baseItem="0"/>
  </dataField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672F4CD-E103-4236-8EF8-6CA296C900A7}" autoFormatId="16" applyNumberFormats="0" applyBorderFormats="0" applyFontFormats="0" applyPatternFormats="0" applyAlignmentFormats="0" applyWidthHeightFormats="0">
  <queryTableRefresh nextId="11">
    <queryTableFields count="10">
      <queryTableField id="1" name="month_date" tableColumnId="1"/>
      <queryTableField id="2" name="fiscal_year" tableColumnId="2"/>
      <queryTableField id="3" name="banks_live" tableColumnId="3"/>
      <queryTableField id="4" name="volume_bn" tableColumnId="4"/>
      <queryTableField id="5" name="value_lakh_cr" tableColumnId="5"/>
      <queryTableField id="6" name="avg_ticket_rs" tableColumnId="6"/>
      <queryTableField id="7" name="volume_per_day_mn" tableColumnId="7"/>
      <queryTableField id="8" name="mom_pct" tableColumnId="8"/>
      <queryTableField id="9" name="yoy_volume_pct" tableColumnId="9"/>
      <queryTableField id="10" name="yoy_value_pct"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812A894C-C334-4E40-9FD5-EBD24B95063A}" autoFormatId="16" applyNumberFormats="0" applyBorderFormats="0" applyFontFormats="0" applyPatternFormats="0" applyAlignmentFormats="0" applyWidthHeightFormats="0">
  <queryTableRefresh nextId="7">
    <queryTableFields count="6">
      <queryTableField id="1" name="fiscal_year" tableColumnId="1"/>
      <queryTableField id="2" name="months" tableColumnId="2"/>
      <queryTableField id="3" name="fy_status" tableColumnId="3"/>
      <queryTableField id="4" name="volume_bn" tableColumnId="4"/>
      <queryTableField id="5" name="value_lakh_cr" tableColumnId="5"/>
      <queryTableField id="6" name="avg_ticket_r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6FA87DE-741F-4F83-8ED2-9E3191BEA8DC}" autoFormatId="16" applyNumberFormats="0" applyBorderFormats="0" applyFontFormats="0" applyPatternFormats="0" applyAlignmentFormats="0" applyWidthHeightFormats="0">
  <queryTableRefresh nextId="10">
    <queryTableFields count="9">
      <queryTableField id="1" name="month_date" tableColumnId="1"/>
      <queryTableField id="2" name="app_name" tableColumnId="2"/>
      <queryTableField id="3" name="app_group" tableColumnId="3"/>
      <queryTableField id="4" name="volume_mn" tableColumnId="4"/>
      <queryTableField id="5" name="value_cr" tableColumnId="5"/>
      <queryTableField id="6" name="vol_share_pct" tableColumnId="6"/>
      <queryTableField id="7" name="val_share_pct" tableColumnId="7"/>
      <queryTableField id="8" name="avg_ticket_rs" tableColumnId="8"/>
      <queryTableField id="9" name="vol_rank"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C436A63-5752-4525-B281-0A3A771AF1B8}" autoFormatId="16" applyNumberFormats="0" applyBorderFormats="0" applyFontFormats="0" applyPatternFormats="0" applyAlignmentFormats="0" applyWidthHeightFormats="0">
  <queryTableRefresh nextId="5">
    <queryTableFields count="4">
      <queryTableField id="1" name="month_date" tableColumnId="1"/>
      <queryTableField id="2" name="top2_share_pct" tableColumnId="2"/>
      <queryTableField id="3" name="top5_share_pct" tableColumnId="3"/>
      <queryTableField id="4" name="hhi"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BAE9DC20-FACE-4F99-B152-AD013CB152B3}" autoFormatId="16" applyNumberFormats="0" applyBorderFormats="0" applyFontFormats="0" applyPatternFormats="0" applyAlignmentFormats="0" applyWidthHeightFormats="0">
  <queryTableRefresh nextId="8">
    <queryTableFields count="7">
      <queryTableField id="1" name="month_date" tableColumnId="1"/>
      <queryTableField id="2" name="txn_type" tableColumnId="2"/>
      <queryTableField id="3" name="volume_mn" tableColumnId="3"/>
      <queryTableField id="4" name="value_cr" tableColumnId="4"/>
      <queryTableField id="5" name="volume_share_pct" tableColumnId="5"/>
      <queryTableField id="6" name="value_share_pct" tableColumnId="6"/>
      <queryTableField id="7" name="ticket_rs"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E6D7CA62-F616-4AA2-AD2F-6E87F941F2E9}" autoFormatId="16" applyNumberFormats="0" applyBorderFormats="0" applyFontFormats="0" applyPatternFormats="0" applyAlignmentFormats="0" applyWidthHeightFormats="0">
  <queryTableRefresh nextId="5">
    <queryTableFields count="4">
      <queryTableField id="1" name="month_no" tableColumnId="1"/>
      <queryTableField id="2" name="month_name" tableColumnId="2"/>
      <queryTableField id="3" name="avg_mom_per_day_pct" tableColumnId="3"/>
      <queryTableField id="4" name="years_used"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name" xr10:uid="{6F0AD231-215A-434B-B0BE-4ACD35AEFC63}" sourceName="app_name">
  <pivotTables>
    <pivotTable tabId="8" name="PivotTable2"/>
    <pivotTable tabId="8" name="PivotTable3"/>
  </pivotTables>
  <data>
    <tabular pivotCacheId="1539601868">
      <items count="107">
        <i x="39" s="1"/>
        <i x="15" s="1"/>
        <i x="74" s="1"/>
        <i x="6" s="1"/>
        <i x="45" s="1"/>
        <i x="5" s="1"/>
        <i x="19" s="1"/>
        <i x="36" s="1"/>
        <i x="56" s="1"/>
        <i x="83" s="1"/>
        <i x="65" s="1"/>
        <i x="13" s="1"/>
        <i x="28" s="1"/>
        <i x="37" s="1"/>
        <i x="77" s="1"/>
        <i x="73" s="1"/>
        <i x="62" s="1"/>
        <i x="3" s="1"/>
        <i x="92" s="1"/>
        <i x="42" s="1"/>
        <i x="27" s="1"/>
        <i x="57" s="1"/>
        <i x="46" s="1"/>
        <i x="72" s="1"/>
        <i x="76" s="1"/>
        <i x="7" s="1"/>
        <i x="95" s="1"/>
        <i x="25" s="1"/>
        <i x="75" s="1"/>
        <i x="44" s="1"/>
        <i x="18" s="1"/>
        <i x="70" s="1"/>
        <i x="78" s="1"/>
        <i x="1" s="1"/>
        <i x="17" s="1"/>
        <i x="11" s="1"/>
        <i x="106" s="1"/>
        <i x="43" s="1"/>
        <i x="8" s="1"/>
        <i x="60" s="1"/>
        <i x="22" s="1"/>
        <i x="82" s="1"/>
        <i x="24" s="1"/>
        <i x="31" s="1"/>
        <i x="53" s="1"/>
        <i x="47" s="1"/>
        <i x="38" s="1"/>
        <i x="88" s="1"/>
        <i x="29" s="1"/>
        <i x="99" s="1"/>
        <i x="26" s="1"/>
        <i x="55" s="1"/>
        <i x="68" s="1"/>
        <i x="49" s="1"/>
        <i x="10" s="1"/>
        <i x="81" s="1"/>
        <i x="89" s="1"/>
        <i x="105" s="1"/>
        <i x="93" s="1"/>
        <i x="16" s="1"/>
        <i x="79" s="1"/>
        <i x="4" s="1"/>
        <i x="59" s="1"/>
        <i x="103" s="1"/>
        <i x="61" s="1"/>
        <i x="84" s="1"/>
        <i x="35" s="1"/>
        <i x="67" s="1"/>
        <i x="91" s="1"/>
        <i x="2" s="1"/>
        <i x="86" s="1"/>
        <i x="0" s="1"/>
        <i x="32" s="1"/>
        <i x="30" s="1"/>
        <i x="71" s="1"/>
        <i x="64" s="1"/>
        <i x="34" s="1"/>
        <i x="98" s="1"/>
        <i x="101" s="1"/>
        <i x="94" s="1"/>
        <i x="69" s="1"/>
        <i x="23" s="1"/>
        <i x="97" s="1"/>
        <i x="48" s="1"/>
        <i x="20" s="1"/>
        <i x="100" s="1"/>
        <i x="41" s="1"/>
        <i x="80" s="1"/>
        <i x="54" s="1"/>
        <i x="102" s="1"/>
        <i x="21" s="1"/>
        <i x="14" s="1"/>
        <i x="50" s="1"/>
        <i x="63" s="1"/>
        <i x="52" s="1"/>
        <i x="33" s="1"/>
        <i x="66" s="1"/>
        <i x="90" s="1"/>
        <i x="51" s="1"/>
        <i x="58" s="1"/>
        <i x="104" s="1"/>
        <i x="40" s="1"/>
        <i x="85" s="1"/>
        <i x="87" s="1"/>
        <i x="9" s="1"/>
        <i x="12" s="1"/>
        <i x="9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_name" xr10:uid="{673FB969-8CE2-49C0-9747-877404F169E5}" cache="Slicer_app_name" caption="app_name" startItem="57"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EF800-0353-4A15-93E7-95E89D561CB7}" name="tbl_monthly" displayName="tbl_monthly" ref="A1:J123" tableType="queryTable" totalsRowShown="0">
  <autoFilter ref="A1:J123" xr:uid="{8D3EF800-0353-4A15-93E7-95E89D561CB7}"/>
  <tableColumns count="10">
    <tableColumn id="1" xr3:uid="{71DAABE0-4EC0-408C-96A4-76DA12FA8031}" uniqueName="1" name="month_date" queryTableFieldId="1" dataDxfId="10"/>
    <tableColumn id="2" xr3:uid="{9A0614C6-A0F8-4B34-8D98-3CC68843EAB6}" uniqueName="2" name="fiscal_year" queryTableFieldId="2" dataDxfId="9"/>
    <tableColumn id="3" xr3:uid="{13EEA739-D4A1-4A39-BD21-31FBB0086138}" uniqueName="3" name="banks_live" queryTableFieldId="3"/>
    <tableColumn id="4" xr3:uid="{DA92214E-41B2-4379-A465-DCDB59EE00A8}" uniqueName="4" name="volume_bn" queryTableFieldId="4"/>
    <tableColumn id="5" xr3:uid="{1A78D2F4-A60E-4158-B138-641CC6DF3F82}" uniqueName="5" name="value_lakh_cr" queryTableFieldId="5"/>
    <tableColumn id="6" xr3:uid="{D67047FF-9332-4285-A8DD-99C06BC8BE7C}" uniqueName="6" name="avg_ticket_rs" queryTableFieldId="6"/>
    <tableColumn id="7" xr3:uid="{66A4B83E-9EEE-4380-A342-0E08A30E661A}" uniqueName="7" name="volume_per_day_mn" queryTableFieldId="7"/>
    <tableColumn id="8" xr3:uid="{816288BB-DA50-48BF-B72A-18A833D43DA0}" uniqueName="8" name="mom_pct" queryTableFieldId="8"/>
    <tableColumn id="9" xr3:uid="{B0D2C842-7086-4CB5-BF7F-5C9FA716B808}" uniqueName="9" name="yoy_volume_pct" queryTableFieldId="9"/>
    <tableColumn id="10" xr3:uid="{1F09D0CB-5389-4AC6-8BF4-3D20ADA2F4E2}" uniqueName="10" name="yoy_value_pct"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2F4D15-6818-4416-A854-789AC62622B5}" name="tbl_fy" displayName="tbl_fy" ref="A1:F12" tableType="queryTable" totalsRowShown="0">
  <autoFilter ref="A1:F12" xr:uid="{502F4D15-6818-4416-A854-789AC62622B5}"/>
  <tableColumns count="6">
    <tableColumn id="1" xr3:uid="{C02B539D-9521-4EB1-BE38-6DCD0669C585}" uniqueName="1" name="fiscal_year" queryTableFieldId="1" dataDxfId="8"/>
    <tableColumn id="2" xr3:uid="{5494B650-8A09-42C6-94BA-570A0DBDBD66}" uniqueName="2" name="months" queryTableFieldId="2"/>
    <tableColumn id="3" xr3:uid="{D1E58F06-E3D7-4C2B-A73B-A017BE109186}" uniqueName="3" name="fy_status" queryTableFieldId="3" dataDxfId="7"/>
    <tableColumn id="4" xr3:uid="{2B456297-D071-443D-A49D-BB2490C1A975}" uniqueName="4" name="volume_bn" queryTableFieldId="4"/>
    <tableColumn id="5" xr3:uid="{C2FCE4D9-E606-449B-B120-2C0AC9014E30}" uniqueName="5" name="value_lakh_cr" queryTableFieldId="5"/>
    <tableColumn id="6" xr3:uid="{5DDB6A7E-6920-453C-941B-1AECEAB914CB}" uniqueName="6" name="avg_ticket_rs"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5C3AA5-4868-4CD7-8D5D-93FCA50AD172}" name="tbl_apps" displayName="tbl_apps" ref="A1:I2053" tableType="queryTable" totalsRowShown="0">
  <autoFilter ref="A1:I2053" xr:uid="{FB5C3AA5-4868-4CD7-8D5D-93FCA50AD172}"/>
  <tableColumns count="9">
    <tableColumn id="1" xr3:uid="{9D7ED313-2334-4148-9633-12B85DAF7259}" uniqueName="1" name="month_date" queryTableFieldId="1" dataDxfId="6"/>
    <tableColumn id="2" xr3:uid="{3E53A79F-FC08-4C71-9604-C3BF15342EB6}" uniqueName="2" name="app_name" queryTableFieldId="2" dataDxfId="5"/>
    <tableColumn id="3" xr3:uid="{6A55EEF2-AFAF-4AA3-9D74-235BBD6E5FC5}" uniqueName="3" name="app_group" queryTableFieldId="3" dataDxfId="4"/>
    <tableColumn id="4" xr3:uid="{F1593416-C41D-4178-812F-F77B4B1F88AD}" uniqueName="4" name="volume_mn" queryTableFieldId="4"/>
    <tableColumn id="5" xr3:uid="{3FB2A0E3-8A5A-441A-BB54-43AF0352C967}" uniqueName="5" name="value_cr" queryTableFieldId="5"/>
    <tableColumn id="6" xr3:uid="{06D1E116-6D66-4BE2-95D8-670C8F0A6461}" uniqueName="6" name="vol_share_pct" queryTableFieldId="6"/>
    <tableColumn id="7" xr3:uid="{722F0F72-120D-40AA-8047-475CA6B5280A}" uniqueName="7" name="val_share_pct" queryTableFieldId="7"/>
    <tableColumn id="8" xr3:uid="{B82B532B-F439-4601-8B22-1BE78373CC58}" uniqueName="8" name="avg_ticket_rs" queryTableFieldId="8"/>
    <tableColumn id="9" xr3:uid="{3C28113E-8D43-49A8-94E0-CEA1E3467E87}" uniqueName="9" name="vol_rank"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105D1B-85B3-4EDB-908A-C1976E3FB2B5}" name="tbl_conc" displayName="tbl_conc" ref="A1:D25" tableType="queryTable" totalsRowShown="0">
  <autoFilter ref="A1:D25" xr:uid="{90105D1B-85B3-4EDB-908A-C1976E3FB2B5}"/>
  <tableColumns count="4">
    <tableColumn id="1" xr3:uid="{DC7B8BB5-8716-44A7-8D4A-191D1FA5D6F5}" uniqueName="1" name="month_date" queryTableFieldId="1" dataDxfId="3"/>
    <tableColumn id="2" xr3:uid="{B3142653-03BD-4346-AB2A-B3492A8BF2B2}" uniqueName="2" name="top2_share_pct" queryTableFieldId="2"/>
    <tableColumn id="3" xr3:uid="{A23BD8D7-E730-42B7-BC48-34AF0D600F03}" uniqueName="3" name="top5_share_pct" queryTableFieldId="3"/>
    <tableColumn id="4" xr3:uid="{4FDCCAFC-E612-4531-AACA-7AB9FEC5130E}" uniqueName="4" name="hhi"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64DC10-8A28-4AEC-814B-DFBB0F7B9ADE}" name="tbl_mix" displayName="tbl_mix" ref="A1:G49" tableType="queryTable" totalsRowShown="0">
  <autoFilter ref="A1:G49" xr:uid="{A764DC10-8A28-4AEC-814B-DFBB0F7B9ADE}"/>
  <tableColumns count="7">
    <tableColumn id="1" xr3:uid="{40074F1C-A2F9-44B9-8765-4A0B12CA2FF7}" uniqueName="1" name="month_date" queryTableFieldId="1" dataDxfId="2"/>
    <tableColumn id="2" xr3:uid="{B523325A-5B50-481D-84F6-79FE12A1EC4D}" uniqueName="2" name="txn_type" queryTableFieldId="2" dataDxfId="1"/>
    <tableColumn id="3" xr3:uid="{8AEEEA2F-9C86-4EA9-AEE3-3BB619199AFA}" uniqueName="3" name="volume_mn" queryTableFieldId="3"/>
    <tableColumn id="4" xr3:uid="{FF046393-1CB4-4A2F-B47F-72F5B09DC377}" uniqueName="4" name="value_cr" queryTableFieldId="4"/>
    <tableColumn id="5" xr3:uid="{F9D059A4-C762-4ED9-8C6F-AA658C4D6FF9}" uniqueName="5" name="volume_share_pct" queryTableFieldId="5"/>
    <tableColumn id="6" xr3:uid="{B2C50C82-AF95-44CC-8CA3-CBED1D201D46}" uniqueName="6" name="value_share_pct" queryTableFieldId="6"/>
    <tableColumn id="7" xr3:uid="{29C3C9A2-DFF9-40C4-BF1C-130D5D698077}" uniqueName="7" name="ticket_rs"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2BA51C-F216-4AE5-8AAF-A9A6F9D5A880}" name="tbl_season" displayName="tbl_season" ref="A1:D13" tableType="queryTable" totalsRowShown="0">
  <autoFilter ref="A1:D13" xr:uid="{462BA51C-F216-4AE5-8AAF-A9A6F9D5A880}"/>
  <tableColumns count="4">
    <tableColumn id="1" xr3:uid="{5DDBA8B5-A3F6-4AFF-A9C8-B2B581556850}" uniqueName="1" name="month_no" queryTableFieldId="1"/>
    <tableColumn id="2" xr3:uid="{C52F415D-F9B8-4754-8F95-9D02D57E4CF7}" uniqueName="2" name="month_name" queryTableFieldId="2" dataDxfId="0"/>
    <tableColumn id="3" xr3:uid="{DEC39EA4-A4B0-4CE8-8CD2-DA6E6BE32C1F}" uniqueName="3" name="avg_mom_per_day_pct" queryTableFieldId="3"/>
    <tableColumn id="4" xr3:uid="{FE722BC2-F4FA-466F-A081-6B6F1943805E}" uniqueName="4" name="years_used"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date" xr10:uid="{D0178021-45B4-4367-ABB7-57207784B6A2}" sourceName="month_date">
  <pivotTables>
    <pivotTable tabId="8" name="PivotTable1"/>
  </pivotTables>
  <state minimalRefreshVersion="6" lastRefreshVersion="6" pivotCacheId="2016994190" filterType="unknown">
    <bounds startDate="201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_date" xr10:uid="{36544B0C-D56A-4D98-ABE7-37E0953A729F}" cache="NativeTimeline_month_date" caption="month_date" level="2" selectionLevel="2" scrollPosition="2026-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6717E-6C44-422F-9C13-9FA6983A5431}">
  <dimension ref="A1:J123"/>
  <sheetViews>
    <sheetView topLeftCell="A2" workbookViewId="0">
      <selection activeCell="B5" sqref="B5"/>
    </sheetView>
  </sheetViews>
  <sheetFormatPr defaultRowHeight="14.4" x14ac:dyDescent="0.3"/>
  <cols>
    <col min="1" max="1" width="13.6640625" bestFit="1" customWidth="1"/>
    <col min="2" max="3" width="12.109375" bestFit="1" customWidth="1"/>
    <col min="4" max="4" width="12.77734375" bestFit="1" customWidth="1"/>
    <col min="5" max="5" width="14.88671875" bestFit="1" customWidth="1"/>
    <col min="6" max="6" width="14.33203125" bestFit="1" customWidth="1"/>
    <col min="7" max="7" width="21.44140625" bestFit="1" customWidth="1"/>
    <col min="8" max="8" width="11.33203125" bestFit="1" customWidth="1"/>
    <col min="9" max="9" width="17.44140625" bestFit="1" customWidth="1"/>
    <col min="10" max="10" width="15.6640625" bestFit="1" customWidth="1"/>
  </cols>
  <sheetData>
    <row r="1" spans="1:10" x14ac:dyDescent="0.3">
      <c r="A1" t="s">
        <v>0</v>
      </c>
      <c r="B1" t="s">
        <v>1</v>
      </c>
      <c r="C1" t="s">
        <v>2</v>
      </c>
      <c r="D1" t="s">
        <v>3</v>
      </c>
      <c r="E1" t="s">
        <v>4</v>
      </c>
      <c r="F1" t="s">
        <v>5</v>
      </c>
      <c r="G1" t="s">
        <v>6</v>
      </c>
      <c r="H1" t="s">
        <v>7</v>
      </c>
      <c r="I1" t="s">
        <v>8</v>
      </c>
      <c r="J1" t="s">
        <v>9</v>
      </c>
    </row>
    <row r="2" spans="1:10" x14ac:dyDescent="0.3">
      <c r="A2" s="1">
        <v>42583</v>
      </c>
      <c r="B2" t="s">
        <v>10</v>
      </c>
      <c r="C2">
        <v>21</v>
      </c>
      <c r="D2">
        <v>0</v>
      </c>
      <c r="E2">
        <v>0</v>
      </c>
      <c r="F2">
        <v>343</v>
      </c>
      <c r="G2">
        <v>0</v>
      </c>
    </row>
    <row r="3" spans="1:10" x14ac:dyDescent="0.3">
      <c r="A3" s="1">
        <v>42614</v>
      </c>
      <c r="B3" t="s">
        <v>10</v>
      </c>
      <c r="C3">
        <v>25</v>
      </c>
      <c r="D3">
        <v>0</v>
      </c>
      <c r="E3">
        <v>0</v>
      </c>
      <c r="F3">
        <v>3627</v>
      </c>
      <c r="G3">
        <v>0</v>
      </c>
      <c r="H3">
        <v>0</v>
      </c>
    </row>
    <row r="4" spans="1:10" x14ac:dyDescent="0.3">
      <c r="A4" s="1">
        <v>42644</v>
      </c>
      <c r="B4" t="s">
        <v>10</v>
      </c>
      <c r="C4">
        <v>26</v>
      </c>
      <c r="D4">
        <v>0</v>
      </c>
      <c r="E4">
        <v>0</v>
      </c>
      <c r="F4">
        <v>4857</v>
      </c>
      <c r="G4">
        <v>0</v>
      </c>
      <c r="H4">
        <v>11.1</v>
      </c>
    </row>
    <row r="5" spans="1:10" x14ac:dyDescent="0.3">
      <c r="A5" s="1">
        <v>42675</v>
      </c>
      <c r="B5" t="s">
        <v>10</v>
      </c>
      <c r="C5">
        <v>30</v>
      </c>
      <c r="D5">
        <v>0</v>
      </c>
      <c r="E5">
        <v>1E-3</v>
      </c>
      <c r="F5">
        <v>3464</v>
      </c>
      <c r="G5">
        <v>0</v>
      </c>
      <c r="H5">
        <v>190</v>
      </c>
    </row>
    <row r="6" spans="1:10" x14ac:dyDescent="0.3">
      <c r="A6" s="1">
        <v>42705</v>
      </c>
      <c r="B6" t="s">
        <v>10</v>
      </c>
      <c r="C6">
        <v>35</v>
      </c>
      <c r="D6">
        <v>2E-3</v>
      </c>
      <c r="E6">
        <v>7.0000000000000001E-3</v>
      </c>
      <c r="F6">
        <v>3557</v>
      </c>
      <c r="G6">
        <v>0.1</v>
      </c>
      <c r="H6">
        <v>586.20000000000005</v>
      </c>
    </row>
    <row r="7" spans="1:10" x14ac:dyDescent="0.3">
      <c r="A7" s="1">
        <v>42736</v>
      </c>
      <c r="B7" t="s">
        <v>10</v>
      </c>
      <c r="C7">
        <v>36</v>
      </c>
      <c r="D7">
        <v>4.0000000000000001E-3</v>
      </c>
      <c r="E7">
        <v>1.7000000000000001E-2</v>
      </c>
      <c r="F7">
        <v>3803</v>
      </c>
      <c r="G7">
        <v>0.1</v>
      </c>
      <c r="H7">
        <v>124.1</v>
      </c>
    </row>
    <row r="8" spans="1:10" x14ac:dyDescent="0.3">
      <c r="A8" s="1">
        <v>42767</v>
      </c>
      <c r="B8" t="s">
        <v>10</v>
      </c>
      <c r="C8">
        <v>44</v>
      </c>
      <c r="D8">
        <v>4.0000000000000001E-3</v>
      </c>
      <c r="E8">
        <v>1.9E-2</v>
      </c>
      <c r="F8">
        <v>4424</v>
      </c>
      <c r="G8">
        <v>0.2</v>
      </c>
      <c r="H8">
        <v>-1.8</v>
      </c>
    </row>
    <row r="9" spans="1:10" x14ac:dyDescent="0.3">
      <c r="A9" s="1">
        <v>42795</v>
      </c>
      <c r="B9" t="s">
        <v>10</v>
      </c>
      <c r="C9">
        <v>44</v>
      </c>
      <c r="D9">
        <v>6.0000000000000001E-3</v>
      </c>
      <c r="E9">
        <v>2.4E-2</v>
      </c>
      <c r="F9">
        <v>3807</v>
      </c>
      <c r="G9">
        <v>0.2</v>
      </c>
      <c r="H9">
        <v>45.4</v>
      </c>
    </row>
    <row r="10" spans="1:10" x14ac:dyDescent="0.3">
      <c r="A10" s="1">
        <v>42826</v>
      </c>
      <c r="B10" t="s">
        <v>11</v>
      </c>
      <c r="C10">
        <v>48</v>
      </c>
      <c r="D10">
        <v>7.0000000000000001E-3</v>
      </c>
      <c r="E10">
        <v>2.3E-2</v>
      </c>
      <c r="F10">
        <v>3155</v>
      </c>
      <c r="G10">
        <v>0.2</v>
      </c>
      <c r="H10">
        <v>13</v>
      </c>
    </row>
    <row r="11" spans="1:10" x14ac:dyDescent="0.3">
      <c r="A11" s="1">
        <v>42856</v>
      </c>
      <c r="B11" t="s">
        <v>11</v>
      </c>
      <c r="C11">
        <v>49</v>
      </c>
      <c r="D11">
        <v>8.9999999999999993E-3</v>
      </c>
      <c r="E11">
        <v>2.8000000000000001E-2</v>
      </c>
      <c r="F11">
        <v>2988</v>
      </c>
      <c r="G11">
        <v>0.3</v>
      </c>
      <c r="H11">
        <v>30</v>
      </c>
    </row>
    <row r="12" spans="1:10" x14ac:dyDescent="0.3">
      <c r="A12" s="1">
        <v>42887</v>
      </c>
      <c r="B12" t="s">
        <v>11</v>
      </c>
      <c r="C12">
        <v>52</v>
      </c>
      <c r="D12">
        <v>0.01</v>
      </c>
      <c r="E12">
        <v>3.1E-2</v>
      </c>
      <c r="F12">
        <v>2994</v>
      </c>
      <c r="G12">
        <v>0.3</v>
      </c>
      <c r="H12">
        <v>10.6</v>
      </c>
    </row>
    <row r="13" spans="1:10" x14ac:dyDescent="0.3">
      <c r="A13" s="1">
        <v>42917</v>
      </c>
      <c r="B13" t="s">
        <v>11</v>
      </c>
      <c r="C13">
        <v>53</v>
      </c>
      <c r="D13">
        <v>1.2E-2</v>
      </c>
      <c r="E13">
        <v>3.4000000000000002E-2</v>
      </c>
      <c r="F13">
        <v>2933</v>
      </c>
      <c r="G13">
        <v>0.4</v>
      </c>
      <c r="H13">
        <v>12.4</v>
      </c>
    </row>
    <row r="14" spans="1:10" x14ac:dyDescent="0.3">
      <c r="A14" s="1">
        <v>42948</v>
      </c>
      <c r="B14" t="s">
        <v>11</v>
      </c>
      <c r="C14">
        <v>55</v>
      </c>
      <c r="D14">
        <v>1.7000000000000001E-2</v>
      </c>
      <c r="E14">
        <v>4.2000000000000003E-2</v>
      </c>
      <c r="F14">
        <v>2474</v>
      </c>
      <c r="G14">
        <v>0.5</v>
      </c>
      <c r="H14">
        <v>44.5</v>
      </c>
      <c r="I14">
        <v>18566.7</v>
      </c>
      <c r="J14">
        <v>134418.4</v>
      </c>
    </row>
    <row r="15" spans="1:10" x14ac:dyDescent="0.3">
      <c r="A15" s="1">
        <v>42979</v>
      </c>
      <c r="B15" t="s">
        <v>11</v>
      </c>
      <c r="C15">
        <v>57</v>
      </c>
      <c r="D15">
        <v>3.1E-2</v>
      </c>
      <c r="E15">
        <v>5.2999999999999999E-2</v>
      </c>
      <c r="F15">
        <v>1719</v>
      </c>
      <c r="G15">
        <v>1</v>
      </c>
      <c r="H15">
        <v>84.4</v>
      </c>
      <c r="I15">
        <v>34322.199999999997</v>
      </c>
      <c r="J15">
        <v>16216.8</v>
      </c>
    </row>
    <row r="16" spans="1:10" x14ac:dyDescent="0.3">
      <c r="A16" s="1">
        <v>43009</v>
      </c>
      <c r="B16" t="s">
        <v>11</v>
      </c>
      <c r="C16">
        <v>60</v>
      </c>
      <c r="D16">
        <v>7.6999999999999999E-2</v>
      </c>
      <c r="E16">
        <v>7.0999999999999994E-2</v>
      </c>
      <c r="F16">
        <v>917</v>
      </c>
      <c r="G16">
        <v>2.5</v>
      </c>
      <c r="H16">
        <v>148.4</v>
      </c>
      <c r="I16">
        <v>76860</v>
      </c>
      <c r="J16">
        <v>14431.2</v>
      </c>
    </row>
    <row r="17" spans="1:10" x14ac:dyDescent="0.3">
      <c r="A17" s="1">
        <v>43040</v>
      </c>
      <c r="B17" t="s">
        <v>11</v>
      </c>
      <c r="C17">
        <v>61</v>
      </c>
      <c r="D17">
        <v>0.105</v>
      </c>
      <c r="E17">
        <v>9.7000000000000003E-2</v>
      </c>
      <c r="F17">
        <v>921</v>
      </c>
      <c r="G17">
        <v>3.5</v>
      </c>
      <c r="H17">
        <v>36.5</v>
      </c>
      <c r="I17">
        <v>36113.800000000003</v>
      </c>
      <c r="J17">
        <v>9525.1</v>
      </c>
    </row>
    <row r="18" spans="1:10" x14ac:dyDescent="0.3">
      <c r="A18" s="1">
        <v>43070</v>
      </c>
      <c r="B18" t="s">
        <v>11</v>
      </c>
      <c r="C18">
        <v>67</v>
      </c>
      <c r="D18">
        <v>0.14599999999999999</v>
      </c>
      <c r="E18">
        <v>0.13200000000000001</v>
      </c>
      <c r="F18">
        <v>905</v>
      </c>
      <c r="G18">
        <v>4.7</v>
      </c>
      <c r="H18">
        <v>38.700000000000003</v>
      </c>
      <c r="I18">
        <v>7218.6</v>
      </c>
      <c r="J18">
        <v>1761</v>
      </c>
    </row>
    <row r="19" spans="1:10" x14ac:dyDescent="0.3">
      <c r="A19" s="1">
        <v>43101</v>
      </c>
      <c r="B19" t="s">
        <v>11</v>
      </c>
      <c r="C19">
        <v>71</v>
      </c>
      <c r="D19">
        <v>0.152</v>
      </c>
      <c r="E19">
        <v>0.156</v>
      </c>
      <c r="F19">
        <v>1026</v>
      </c>
      <c r="G19">
        <v>4.9000000000000004</v>
      </c>
      <c r="H19">
        <v>4.3</v>
      </c>
      <c r="I19">
        <v>3304.3</v>
      </c>
      <c r="J19">
        <v>818</v>
      </c>
    </row>
    <row r="20" spans="1:10" x14ac:dyDescent="0.3">
      <c r="A20" s="1">
        <v>43132</v>
      </c>
      <c r="B20" t="s">
        <v>11</v>
      </c>
      <c r="C20">
        <v>86</v>
      </c>
      <c r="D20">
        <v>0.17100000000000001</v>
      </c>
      <c r="E20">
        <v>0.191</v>
      </c>
      <c r="F20">
        <v>1116</v>
      </c>
      <c r="G20">
        <v>6.1</v>
      </c>
      <c r="H20">
        <v>12.9</v>
      </c>
      <c r="I20">
        <v>3813.2</v>
      </c>
      <c r="J20">
        <v>887.1</v>
      </c>
    </row>
    <row r="21" spans="1:10" x14ac:dyDescent="0.3">
      <c r="A21" s="1">
        <v>43160</v>
      </c>
      <c r="B21" t="s">
        <v>11</v>
      </c>
      <c r="C21">
        <v>91</v>
      </c>
      <c r="D21">
        <v>0.17799999999999999</v>
      </c>
      <c r="E21">
        <v>0.24199999999999999</v>
      </c>
      <c r="F21">
        <v>1358</v>
      </c>
      <c r="G21">
        <v>5.7</v>
      </c>
      <c r="H21">
        <v>3.9</v>
      </c>
      <c r="I21">
        <v>2695.1</v>
      </c>
      <c r="J21">
        <v>896.8</v>
      </c>
    </row>
    <row r="22" spans="1:10" x14ac:dyDescent="0.3">
      <c r="A22" s="1">
        <v>43191</v>
      </c>
      <c r="B22" t="s">
        <v>12</v>
      </c>
      <c r="C22">
        <v>97</v>
      </c>
      <c r="D22">
        <v>0.19</v>
      </c>
      <c r="E22">
        <v>0.27</v>
      </c>
      <c r="F22">
        <v>1422</v>
      </c>
      <c r="G22">
        <v>6.3</v>
      </c>
      <c r="H22">
        <v>6.8</v>
      </c>
      <c r="I22">
        <v>2540</v>
      </c>
      <c r="J22">
        <v>1089.7</v>
      </c>
    </row>
    <row r="23" spans="1:10" x14ac:dyDescent="0.3">
      <c r="A23" s="1">
        <v>43221</v>
      </c>
      <c r="B23" t="s">
        <v>12</v>
      </c>
      <c r="C23">
        <v>101</v>
      </c>
      <c r="D23">
        <v>0.189</v>
      </c>
      <c r="E23">
        <v>0.33300000000000002</v>
      </c>
      <c r="F23">
        <v>1757</v>
      </c>
      <c r="G23">
        <v>6.1</v>
      </c>
      <c r="H23">
        <v>-0.3</v>
      </c>
      <c r="I23">
        <v>1924.4</v>
      </c>
      <c r="J23">
        <v>1090.0999999999999</v>
      </c>
    </row>
    <row r="24" spans="1:10" x14ac:dyDescent="0.3">
      <c r="A24" s="1">
        <v>43252</v>
      </c>
      <c r="B24" t="s">
        <v>12</v>
      </c>
      <c r="C24">
        <v>110</v>
      </c>
      <c r="D24">
        <v>0.246</v>
      </c>
      <c r="E24">
        <v>0.40799999999999997</v>
      </c>
      <c r="F24">
        <v>1657</v>
      </c>
      <c r="G24">
        <v>8.1999999999999993</v>
      </c>
      <c r="H24">
        <v>30</v>
      </c>
      <c r="I24">
        <v>2280.4</v>
      </c>
      <c r="J24">
        <v>1217.9000000000001</v>
      </c>
    </row>
    <row r="25" spans="1:10" x14ac:dyDescent="0.3">
      <c r="A25" s="1">
        <v>43282</v>
      </c>
      <c r="B25" t="s">
        <v>12</v>
      </c>
      <c r="C25">
        <v>114</v>
      </c>
      <c r="D25">
        <v>0.27400000000000002</v>
      </c>
      <c r="E25">
        <v>0.51800000000000002</v>
      </c>
      <c r="F25">
        <v>1894</v>
      </c>
      <c r="G25">
        <v>8.8000000000000007</v>
      </c>
      <c r="H25">
        <v>11.1</v>
      </c>
      <c r="I25">
        <v>2253.8000000000002</v>
      </c>
      <c r="J25">
        <v>1419.7</v>
      </c>
    </row>
    <row r="26" spans="1:10" x14ac:dyDescent="0.3">
      <c r="A26" s="1">
        <v>43313</v>
      </c>
      <c r="B26" t="s">
        <v>12</v>
      </c>
      <c r="C26">
        <v>114</v>
      </c>
      <c r="D26">
        <v>0.312</v>
      </c>
      <c r="E26">
        <v>0.54200000000000004</v>
      </c>
      <c r="F26">
        <v>1737</v>
      </c>
      <c r="G26">
        <v>10.1</v>
      </c>
      <c r="H26">
        <v>14</v>
      </c>
      <c r="I26">
        <v>1757.3</v>
      </c>
      <c r="J26">
        <v>1204.2</v>
      </c>
    </row>
    <row r="27" spans="1:10" x14ac:dyDescent="0.3">
      <c r="A27" s="1">
        <v>43344</v>
      </c>
      <c r="B27" t="s">
        <v>12</v>
      </c>
      <c r="C27">
        <v>122</v>
      </c>
      <c r="D27">
        <v>0.40600000000000003</v>
      </c>
      <c r="E27">
        <v>0.59799999999999998</v>
      </c>
      <c r="F27">
        <v>1474</v>
      </c>
      <c r="G27">
        <v>13.5</v>
      </c>
      <c r="H27">
        <v>30.1</v>
      </c>
      <c r="I27">
        <v>1210.0999999999999</v>
      </c>
      <c r="J27">
        <v>1023.5</v>
      </c>
    </row>
    <row r="28" spans="1:10" x14ac:dyDescent="0.3">
      <c r="A28" s="1">
        <v>43374</v>
      </c>
      <c r="B28" t="s">
        <v>12</v>
      </c>
      <c r="C28">
        <v>128</v>
      </c>
      <c r="D28">
        <v>0.48199999999999998</v>
      </c>
      <c r="E28">
        <v>0.75</v>
      </c>
      <c r="F28">
        <v>1554</v>
      </c>
      <c r="G28">
        <v>15.6</v>
      </c>
      <c r="H28">
        <v>18.8</v>
      </c>
      <c r="I28">
        <v>526.79999999999995</v>
      </c>
      <c r="J28">
        <v>962.3</v>
      </c>
    </row>
    <row r="29" spans="1:10" x14ac:dyDescent="0.3">
      <c r="A29" s="1">
        <v>43405</v>
      </c>
      <c r="B29" t="s">
        <v>12</v>
      </c>
      <c r="C29">
        <v>128</v>
      </c>
      <c r="D29">
        <v>0.52500000000000002</v>
      </c>
      <c r="E29">
        <v>0.82199999999999995</v>
      </c>
      <c r="F29">
        <v>1567</v>
      </c>
      <c r="G29">
        <v>17.5</v>
      </c>
      <c r="H29">
        <v>8.8000000000000007</v>
      </c>
      <c r="I29">
        <v>399.8</v>
      </c>
      <c r="J29">
        <v>750.4</v>
      </c>
    </row>
    <row r="30" spans="1:10" x14ac:dyDescent="0.3">
      <c r="A30" s="1">
        <v>43435</v>
      </c>
      <c r="B30" t="s">
        <v>12</v>
      </c>
      <c r="C30">
        <v>129</v>
      </c>
      <c r="D30">
        <v>0.62</v>
      </c>
      <c r="E30">
        <v>1.026</v>
      </c>
      <c r="F30">
        <v>1654</v>
      </c>
      <c r="G30">
        <v>20</v>
      </c>
      <c r="H30">
        <v>18.100000000000001</v>
      </c>
      <c r="I30">
        <v>325.8</v>
      </c>
      <c r="J30">
        <v>678.8</v>
      </c>
    </row>
    <row r="31" spans="1:10" x14ac:dyDescent="0.3">
      <c r="A31" s="1">
        <v>43466</v>
      </c>
      <c r="B31" t="s">
        <v>12</v>
      </c>
      <c r="C31">
        <v>134</v>
      </c>
      <c r="D31">
        <v>0.67300000000000004</v>
      </c>
      <c r="E31">
        <v>1.099</v>
      </c>
      <c r="F31">
        <v>1634</v>
      </c>
      <c r="G31">
        <v>21.7</v>
      </c>
      <c r="H31">
        <v>8.5</v>
      </c>
      <c r="I31">
        <v>343.1</v>
      </c>
      <c r="J31">
        <v>606</v>
      </c>
    </row>
    <row r="32" spans="1:10" x14ac:dyDescent="0.3">
      <c r="A32" s="1">
        <v>43497</v>
      </c>
      <c r="B32" t="s">
        <v>12</v>
      </c>
      <c r="C32">
        <v>139</v>
      </c>
      <c r="D32">
        <v>0.67400000000000004</v>
      </c>
      <c r="E32">
        <v>1.0669999999999999</v>
      </c>
      <c r="F32">
        <v>1583</v>
      </c>
      <c r="G32">
        <v>24.1</v>
      </c>
      <c r="H32">
        <v>0.2</v>
      </c>
      <c r="I32">
        <v>293.3</v>
      </c>
      <c r="J32">
        <v>458.1</v>
      </c>
    </row>
    <row r="33" spans="1:10" x14ac:dyDescent="0.3">
      <c r="A33" s="1">
        <v>43525</v>
      </c>
      <c r="B33" t="s">
        <v>12</v>
      </c>
      <c r="C33">
        <v>142</v>
      </c>
      <c r="D33">
        <v>0.8</v>
      </c>
      <c r="E33">
        <v>1.335</v>
      </c>
      <c r="F33">
        <v>1669</v>
      </c>
      <c r="G33">
        <v>25.8</v>
      </c>
      <c r="H33">
        <v>18.600000000000001</v>
      </c>
      <c r="I33">
        <v>349.1</v>
      </c>
      <c r="J33">
        <v>452.1</v>
      </c>
    </row>
    <row r="34" spans="1:10" x14ac:dyDescent="0.3">
      <c r="A34" s="1">
        <v>43556</v>
      </c>
      <c r="B34" t="s">
        <v>13</v>
      </c>
      <c r="C34">
        <v>144</v>
      </c>
      <c r="D34">
        <v>0.78200000000000003</v>
      </c>
      <c r="E34">
        <v>1.42</v>
      </c>
      <c r="F34">
        <v>1817</v>
      </c>
      <c r="G34">
        <v>26.1</v>
      </c>
      <c r="H34">
        <v>-2.2000000000000002</v>
      </c>
      <c r="I34">
        <v>311.3</v>
      </c>
      <c r="J34">
        <v>425.6</v>
      </c>
    </row>
    <row r="35" spans="1:10" x14ac:dyDescent="0.3">
      <c r="A35" s="1">
        <v>43586</v>
      </c>
      <c r="B35" t="s">
        <v>13</v>
      </c>
      <c r="C35">
        <v>143</v>
      </c>
      <c r="D35">
        <v>0.73399999999999999</v>
      </c>
      <c r="E35">
        <v>1.524</v>
      </c>
      <c r="F35">
        <v>2078</v>
      </c>
      <c r="G35">
        <v>23.7</v>
      </c>
      <c r="H35">
        <v>-6.2</v>
      </c>
      <c r="I35">
        <v>287.10000000000002</v>
      </c>
      <c r="J35">
        <v>358</v>
      </c>
    </row>
    <row r="36" spans="1:10" x14ac:dyDescent="0.3">
      <c r="A36" s="1">
        <v>43617</v>
      </c>
      <c r="B36" t="s">
        <v>13</v>
      </c>
      <c r="C36">
        <v>142</v>
      </c>
      <c r="D36">
        <v>0.755</v>
      </c>
      <c r="E36">
        <v>1.466</v>
      </c>
      <c r="F36">
        <v>1942</v>
      </c>
      <c r="G36">
        <v>25.2</v>
      </c>
      <c r="H36">
        <v>2.9</v>
      </c>
      <c r="I36">
        <v>206.3</v>
      </c>
      <c r="J36">
        <v>258.89999999999998</v>
      </c>
    </row>
    <row r="37" spans="1:10" x14ac:dyDescent="0.3">
      <c r="A37" s="1">
        <v>43647</v>
      </c>
      <c r="B37" t="s">
        <v>13</v>
      </c>
      <c r="C37">
        <v>143</v>
      </c>
      <c r="D37">
        <v>0.82199999999999995</v>
      </c>
      <c r="E37">
        <v>1.464</v>
      </c>
      <c r="F37">
        <v>1780</v>
      </c>
      <c r="G37">
        <v>26.5</v>
      </c>
      <c r="H37">
        <v>9</v>
      </c>
      <c r="I37">
        <v>200.4</v>
      </c>
      <c r="J37">
        <v>182.4</v>
      </c>
    </row>
    <row r="38" spans="1:10" x14ac:dyDescent="0.3">
      <c r="A38" s="1">
        <v>43678</v>
      </c>
      <c r="B38" t="s">
        <v>13</v>
      </c>
      <c r="C38">
        <v>141</v>
      </c>
      <c r="D38">
        <v>0.91800000000000004</v>
      </c>
      <c r="E38">
        <v>1.5449999999999999</v>
      </c>
      <c r="F38">
        <v>1682</v>
      </c>
      <c r="G38">
        <v>29.6</v>
      </c>
      <c r="H38">
        <v>11.7</v>
      </c>
      <c r="I38">
        <v>194.3</v>
      </c>
      <c r="J38">
        <v>185</v>
      </c>
    </row>
    <row r="39" spans="1:10" x14ac:dyDescent="0.3">
      <c r="A39" s="1">
        <v>43709</v>
      </c>
      <c r="B39" t="s">
        <v>13</v>
      </c>
      <c r="C39">
        <v>141</v>
      </c>
      <c r="D39">
        <v>0.95499999999999996</v>
      </c>
      <c r="E39">
        <v>1.615</v>
      </c>
      <c r="F39">
        <v>1691</v>
      </c>
      <c r="G39">
        <v>31.8</v>
      </c>
      <c r="H39">
        <v>4</v>
      </c>
      <c r="I39">
        <v>135.30000000000001</v>
      </c>
      <c r="J39">
        <v>169.8</v>
      </c>
    </row>
    <row r="40" spans="1:10" x14ac:dyDescent="0.3">
      <c r="A40" s="1">
        <v>43739</v>
      </c>
      <c r="B40" t="s">
        <v>13</v>
      </c>
      <c r="C40">
        <v>141</v>
      </c>
      <c r="D40">
        <v>1.1479999999999999</v>
      </c>
      <c r="E40">
        <v>1.9139999999999999</v>
      </c>
      <c r="F40">
        <v>1666</v>
      </c>
      <c r="G40">
        <v>37</v>
      </c>
      <c r="H40">
        <v>20.2</v>
      </c>
      <c r="I40">
        <v>138.1</v>
      </c>
      <c r="J40">
        <v>155.19999999999999</v>
      </c>
    </row>
    <row r="41" spans="1:10" x14ac:dyDescent="0.3">
      <c r="A41" s="1">
        <v>43770</v>
      </c>
      <c r="B41" t="s">
        <v>13</v>
      </c>
      <c r="C41">
        <v>143</v>
      </c>
      <c r="D41">
        <v>1.2190000000000001</v>
      </c>
      <c r="E41">
        <v>1.8919999999999999</v>
      </c>
      <c r="F41">
        <v>1553</v>
      </c>
      <c r="G41">
        <v>40.6</v>
      </c>
      <c r="H41">
        <v>6.1</v>
      </c>
      <c r="I41">
        <v>132.19999999999999</v>
      </c>
      <c r="J41">
        <v>130.1</v>
      </c>
    </row>
    <row r="42" spans="1:10" x14ac:dyDescent="0.3">
      <c r="A42" s="1">
        <v>43800</v>
      </c>
      <c r="B42" t="s">
        <v>13</v>
      </c>
      <c r="C42">
        <v>143</v>
      </c>
      <c r="D42">
        <v>1.3080000000000001</v>
      </c>
      <c r="E42">
        <v>2.0249999999999999</v>
      </c>
      <c r="F42">
        <v>1548</v>
      </c>
      <c r="G42">
        <v>42.2</v>
      </c>
      <c r="H42">
        <v>7.4</v>
      </c>
      <c r="I42">
        <v>111</v>
      </c>
      <c r="J42">
        <v>97.4</v>
      </c>
    </row>
    <row r="43" spans="1:10" x14ac:dyDescent="0.3">
      <c r="A43" s="1">
        <v>43831</v>
      </c>
      <c r="B43" t="s">
        <v>13</v>
      </c>
      <c r="C43">
        <v>144</v>
      </c>
      <c r="D43">
        <v>1.3049999999999999</v>
      </c>
      <c r="E43">
        <v>2.1619999999999999</v>
      </c>
      <c r="F43">
        <v>1657</v>
      </c>
      <c r="G43">
        <v>42.1</v>
      </c>
      <c r="H43">
        <v>-0.3</v>
      </c>
      <c r="I43">
        <v>94</v>
      </c>
      <c r="J43">
        <v>96.7</v>
      </c>
    </row>
    <row r="44" spans="1:10" x14ac:dyDescent="0.3">
      <c r="A44" s="1">
        <v>43862</v>
      </c>
      <c r="B44" t="s">
        <v>13</v>
      </c>
      <c r="C44">
        <v>146</v>
      </c>
      <c r="D44">
        <v>1.3260000000000001</v>
      </c>
      <c r="E44">
        <v>2.2250000000000001</v>
      </c>
      <c r="F44">
        <v>1678</v>
      </c>
      <c r="G44">
        <v>45.7</v>
      </c>
      <c r="H44">
        <v>1.6</v>
      </c>
      <c r="I44">
        <v>96.6</v>
      </c>
      <c r="J44">
        <v>108.5</v>
      </c>
    </row>
    <row r="45" spans="1:10" x14ac:dyDescent="0.3">
      <c r="A45" s="1">
        <v>43891</v>
      </c>
      <c r="B45" t="s">
        <v>13</v>
      </c>
      <c r="C45">
        <v>148</v>
      </c>
      <c r="D45">
        <v>1.2470000000000001</v>
      </c>
      <c r="E45">
        <v>2.0649999999999999</v>
      </c>
      <c r="F45">
        <v>1656</v>
      </c>
      <c r="G45">
        <v>40.200000000000003</v>
      </c>
      <c r="H45">
        <v>-5.9</v>
      </c>
      <c r="I45">
        <v>55.9</v>
      </c>
      <c r="J45">
        <v>54.7</v>
      </c>
    </row>
    <row r="46" spans="1:10" x14ac:dyDescent="0.3">
      <c r="A46" s="1">
        <v>43922</v>
      </c>
      <c r="B46" t="s">
        <v>14</v>
      </c>
      <c r="C46">
        <v>153</v>
      </c>
      <c r="D46">
        <v>1</v>
      </c>
      <c r="E46">
        <v>1.5109999999999999</v>
      </c>
      <c r="F46">
        <v>1512</v>
      </c>
      <c r="G46">
        <v>33.299999999999997</v>
      </c>
      <c r="H46">
        <v>-19.8</v>
      </c>
      <c r="I46">
        <v>27.9</v>
      </c>
      <c r="J46">
        <v>6.4</v>
      </c>
    </row>
    <row r="47" spans="1:10" x14ac:dyDescent="0.3">
      <c r="A47" s="1">
        <v>43952</v>
      </c>
      <c r="B47" t="s">
        <v>14</v>
      </c>
      <c r="C47">
        <v>155</v>
      </c>
      <c r="D47">
        <v>1.2350000000000001</v>
      </c>
      <c r="E47">
        <v>2.1840000000000002</v>
      </c>
      <c r="F47">
        <v>1769</v>
      </c>
      <c r="G47">
        <v>39.799999999999997</v>
      </c>
      <c r="H47">
        <v>23.5</v>
      </c>
      <c r="I47">
        <v>68.3</v>
      </c>
      <c r="J47">
        <v>43.3</v>
      </c>
    </row>
    <row r="48" spans="1:10" x14ac:dyDescent="0.3">
      <c r="A48" s="1">
        <v>43983</v>
      </c>
      <c r="B48" t="s">
        <v>14</v>
      </c>
      <c r="C48">
        <v>155</v>
      </c>
      <c r="D48">
        <v>1.337</v>
      </c>
      <c r="E48">
        <v>2.6179999999999999</v>
      </c>
      <c r="F48">
        <v>1958</v>
      </c>
      <c r="G48">
        <v>44.6</v>
      </c>
      <c r="H48">
        <v>8.3000000000000007</v>
      </c>
      <c r="I48">
        <v>77.2</v>
      </c>
      <c r="J48">
        <v>78.599999999999994</v>
      </c>
    </row>
    <row r="49" spans="1:10" x14ac:dyDescent="0.3">
      <c r="A49" s="1">
        <v>44013</v>
      </c>
      <c r="B49" t="s">
        <v>14</v>
      </c>
      <c r="C49">
        <v>164</v>
      </c>
      <c r="D49">
        <v>1.4970000000000001</v>
      </c>
      <c r="E49">
        <v>2.9049999999999998</v>
      </c>
      <c r="F49">
        <v>1940</v>
      </c>
      <c r="G49">
        <v>48.3</v>
      </c>
      <c r="H49">
        <v>12</v>
      </c>
      <c r="I49">
        <v>82.1</v>
      </c>
      <c r="J49">
        <v>98.5</v>
      </c>
    </row>
    <row r="50" spans="1:10" x14ac:dyDescent="0.3">
      <c r="A50" s="1">
        <v>44044</v>
      </c>
      <c r="B50" t="s">
        <v>14</v>
      </c>
      <c r="C50">
        <v>168</v>
      </c>
      <c r="D50">
        <v>1.619</v>
      </c>
      <c r="E50">
        <v>2.9830000000000001</v>
      </c>
      <c r="F50">
        <v>1843</v>
      </c>
      <c r="G50">
        <v>52.2</v>
      </c>
      <c r="H50">
        <v>8.1</v>
      </c>
      <c r="I50">
        <v>76.3</v>
      </c>
      <c r="J50">
        <v>93.1</v>
      </c>
    </row>
    <row r="51" spans="1:10" x14ac:dyDescent="0.3">
      <c r="A51" s="1">
        <v>44075</v>
      </c>
      <c r="B51" t="s">
        <v>14</v>
      </c>
      <c r="C51">
        <v>174</v>
      </c>
      <c r="D51">
        <v>1.8</v>
      </c>
      <c r="E51">
        <v>3.29</v>
      </c>
      <c r="F51">
        <v>1828</v>
      </c>
      <c r="G51">
        <v>60</v>
      </c>
      <c r="H51">
        <v>11.2</v>
      </c>
      <c r="I51">
        <v>88.5</v>
      </c>
      <c r="J51">
        <v>103.8</v>
      </c>
    </row>
    <row r="52" spans="1:10" x14ac:dyDescent="0.3">
      <c r="A52" s="1">
        <v>44105</v>
      </c>
      <c r="B52" t="s">
        <v>14</v>
      </c>
      <c r="C52">
        <v>189</v>
      </c>
      <c r="D52">
        <v>2.0720000000000001</v>
      </c>
      <c r="E52">
        <v>3.8610000000000002</v>
      </c>
      <c r="F52">
        <v>1864</v>
      </c>
      <c r="G52">
        <v>66.8</v>
      </c>
      <c r="H52">
        <v>15.1</v>
      </c>
      <c r="I52">
        <v>80.400000000000006</v>
      </c>
      <c r="J52">
        <v>101.8</v>
      </c>
    </row>
    <row r="53" spans="1:10" x14ac:dyDescent="0.3">
      <c r="A53" s="1">
        <v>44136</v>
      </c>
      <c r="B53" t="s">
        <v>14</v>
      </c>
      <c r="C53">
        <v>200</v>
      </c>
      <c r="D53">
        <v>2.21</v>
      </c>
      <c r="E53">
        <v>3.91</v>
      </c>
      <c r="F53">
        <v>1769</v>
      </c>
      <c r="G53">
        <v>73.7</v>
      </c>
      <c r="H53">
        <v>6.7</v>
      </c>
      <c r="I53">
        <v>81.3</v>
      </c>
      <c r="J53">
        <v>106.6</v>
      </c>
    </row>
    <row r="54" spans="1:10" x14ac:dyDescent="0.3">
      <c r="A54" s="1">
        <v>44166</v>
      </c>
      <c r="B54" t="s">
        <v>14</v>
      </c>
      <c r="C54">
        <v>207</v>
      </c>
      <c r="D54">
        <v>2.234</v>
      </c>
      <c r="E54">
        <v>4.1619999999999999</v>
      </c>
      <c r="F54">
        <v>1863</v>
      </c>
      <c r="G54">
        <v>72.099999999999994</v>
      </c>
      <c r="H54">
        <v>1.1000000000000001</v>
      </c>
      <c r="I54">
        <v>70.8</v>
      </c>
      <c r="J54">
        <v>105.5</v>
      </c>
    </row>
    <row r="55" spans="1:10" x14ac:dyDescent="0.3">
      <c r="A55" s="1">
        <v>44197</v>
      </c>
      <c r="B55" t="s">
        <v>14</v>
      </c>
      <c r="C55">
        <v>207</v>
      </c>
      <c r="D55">
        <v>2.3029999999999999</v>
      </c>
      <c r="E55">
        <v>4.3120000000000003</v>
      </c>
      <c r="F55">
        <v>1872</v>
      </c>
      <c r="G55">
        <v>74.3</v>
      </c>
      <c r="H55">
        <v>3.1</v>
      </c>
      <c r="I55">
        <v>76.5</v>
      </c>
      <c r="J55">
        <v>99.4</v>
      </c>
    </row>
    <row r="56" spans="1:10" x14ac:dyDescent="0.3">
      <c r="A56" s="1">
        <v>44228</v>
      </c>
      <c r="B56" t="s">
        <v>14</v>
      </c>
      <c r="C56">
        <v>213</v>
      </c>
      <c r="D56">
        <v>2.2930000000000001</v>
      </c>
      <c r="E56">
        <v>4.2510000000000003</v>
      </c>
      <c r="F56">
        <v>1854</v>
      </c>
      <c r="G56">
        <v>81.900000000000006</v>
      </c>
      <c r="H56">
        <v>-0.4</v>
      </c>
      <c r="I56">
        <v>73</v>
      </c>
      <c r="J56">
        <v>91</v>
      </c>
    </row>
    <row r="57" spans="1:10" x14ac:dyDescent="0.3">
      <c r="A57" s="1">
        <v>44256</v>
      </c>
      <c r="B57" t="s">
        <v>14</v>
      </c>
      <c r="C57">
        <v>216</v>
      </c>
      <c r="D57">
        <v>2.7320000000000002</v>
      </c>
      <c r="E57">
        <v>5.0490000000000004</v>
      </c>
      <c r="F57">
        <v>1848</v>
      </c>
      <c r="G57">
        <v>88.1</v>
      </c>
      <c r="H57">
        <v>19.100000000000001</v>
      </c>
      <c r="I57">
        <v>119.1</v>
      </c>
      <c r="J57">
        <v>144.5</v>
      </c>
    </row>
    <row r="58" spans="1:10" x14ac:dyDescent="0.3">
      <c r="A58" s="1">
        <v>44287</v>
      </c>
      <c r="B58" t="s">
        <v>15</v>
      </c>
      <c r="C58">
        <v>220</v>
      </c>
      <c r="D58">
        <v>2.641</v>
      </c>
      <c r="E58">
        <v>4.9370000000000003</v>
      </c>
      <c r="F58">
        <v>1869</v>
      </c>
      <c r="G58">
        <v>88</v>
      </c>
      <c r="H58">
        <v>-3.3</v>
      </c>
      <c r="I58">
        <v>164.2</v>
      </c>
      <c r="J58">
        <v>226.6</v>
      </c>
    </row>
    <row r="59" spans="1:10" x14ac:dyDescent="0.3">
      <c r="A59" s="1">
        <v>44317</v>
      </c>
      <c r="B59" t="s">
        <v>15</v>
      </c>
      <c r="C59">
        <v>224</v>
      </c>
      <c r="D59">
        <v>2.54</v>
      </c>
      <c r="E59">
        <v>4.9059999999999997</v>
      </c>
      <c r="F59">
        <v>1932</v>
      </c>
      <c r="G59">
        <v>81.900000000000006</v>
      </c>
      <c r="H59">
        <v>-3.8</v>
      </c>
      <c r="I59">
        <v>105.7</v>
      </c>
      <c r="J59">
        <v>124.7</v>
      </c>
    </row>
    <row r="60" spans="1:10" x14ac:dyDescent="0.3">
      <c r="A60" s="1">
        <v>44348</v>
      </c>
      <c r="B60" t="s">
        <v>15</v>
      </c>
      <c r="C60">
        <v>229</v>
      </c>
      <c r="D60">
        <v>2.8079999999999998</v>
      </c>
      <c r="E60">
        <v>5.4740000000000002</v>
      </c>
      <c r="F60">
        <v>1950</v>
      </c>
      <c r="G60">
        <v>93.6</v>
      </c>
      <c r="H60">
        <v>10.6</v>
      </c>
      <c r="I60">
        <v>110</v>
      </c>
      <c r="J60">
        <v>109.1</v>
      </c>
    </row>
    <row r="61" spans="1:10" x14ac:dyDescent="0.3">
      <c r="A61" s="1">
        <v>44378</v>
      </c>
      <c r="B61" t="s">
        <v>15</v>
      </c>
      <c r="C61">
        <v>235</v>
      </c>
      <c r="D61">
        <v>3.2480000000000002</v>
      </c>
      <c r="E61">
        <v>6.0629999999999997</v>
      </c>
      <c r="F61">
        <v>1867</v>
      </c>
      <c r="G61">
        <v>104.8</v>
      </c>
      <c r="H61">
        <v>15.7</v>
      </c>
      <c r="I61">
        <v>116.9</v>
      </c>
      <c r="J61">
        <v>108.7</v>
      </c>
    </row>
    <row r="62" spans="1:10" x14ac:dyDescent="0.3">
      <c r="A62" s="1">
        <v>44409</v>
      </c>
      <c r="B62" t="s">
        <v>15</v>
      </c>
      <c r="C62">
        <v>249</v>
      </c>
      <c r="D62">
        <v>3.556</v>
      </c>
      <c r="E62">
        <v>6.391</v>
      </c>
      <c r="F62">
        <v>1798</v>
      </c>
      <c r="G62">
        <v>114.7</v>
      </c>
      <c r="H62">
        <v>9.5</v>
      </c>
      <c r="I62">
        <v>119.6</v>
      </c>
      <c r="J62">
        <v>114.2</v>
      </c>
    </row>
    <row r="63" spans="1:10" x14ac:dyDescent="0.3">
      <c r="A63" s="1">
        <v>44440</v>
      </c>
      <c r="B63" t="s">
        <v>15</v>
      </c>
      <c r="C63">
        <v>259</v>
      </c>
      <c r="D63">
        <v>3.6539999999999999</v>
      </c>
      <c r="E63">
        <v>6.5439999999999996</v>
      </c>
      <c r="F63">
        <v>1791</v>
      </c>
      <c r="G63">
        <v>121.8</v>
      </c>
      <c r="H63">
        <v>2.8</v>
      </c>
      <c r="I63">
        <v>103</v>
      </c>
      <c r="J63">
        <v>98.9</v>
      </c>
    </row>
    <row r="64" spans="1:10" x14ac:dyDescent="0.3">
      <c r="A64" s="1">
        <v>44470</v>
      </c>
      <c r="B64" t="s">
        <v>15</v>
      </c>
      <c r="C64">
        <v>261</v>
      </c>
      <c r="D64">
        <v>4.2190000000000003</v>
      </c>
      <c r="E64">
        <v>7.7140000000000004</v>
      </c>
      <c r="F64">
        <v>1829</v>
      </c>
      <c r="G64">
        <v>136.1</v>
      </c>
      <c r="H64">
        <v>15.4</v>
      </c>
      <c r="I64">
        <v>103.6</v>
      </c>
      <c r="J64">
        <v>99.8</v>
      </c>
    </row>
    <row r="65" spans="1:10" x14ac:dyDescent="0.3">
      <c r="A65" s="1">
        <v>44501</v>
      </c>
      <c r="B65" t="s">
        <v>15</v>
      </c>
      <c r="C65">
        <v>274</v>
      </c>
      <c r="D65">
        <v>4.1859999999999999</v>
      </c>
      <c r="E65">
        <v>7.6840000000000002</v>
      </c>
      <c r="F65">
        <v>1836</v>
      </c>
      <c r="G65">
        <v>139.5</v>
      </c>
      <c r="H65">
        <v>-0.8</v>
      </c>
      <c r="I65">
        <v>89.4</v>
      </c>
      <c r="J65">
        <v>96.5</v>
      </c>
    </row>
    <row r="66" spans="1:10" x14ac:dyDescent="0.3">
      <c r="A66" s="1">
        <v>44531</v>
      </c>
      <c r="B66" t="s">
        <v>15</v>
      </c>
      <c r="C66">
        <v>282</v>
      </c>
      <c r="D66">
        <v>4.5659999999999998</v>
      </c>
      <c r="E66">
        <v>8.2680000000000007</v>
      </c>
      <c r="F66">
        <v>1811</v>
      </c>
      <c r="G66">
        <v>147.30000000000001</v>
      </c>
      <c r="H66">
        <v>9.1</v>
      </c>
      <c r="I66">
        <v>104.4</v>
      </c>
      <c r="J66">
        <v>98.7</v>
      </c>
    </row>
    <row r="67" spans="1:10" x14ac:dyDescent="0.3">
      <c r="A67" s="1">
        <v>44562</v>
      </c>
      <c r="B67" t="s">
        <v>15</v>
      </c>
      <c r="C67">
        <v>297</v>
      </c>
      <c r="D67">
        <v>4.617</v>
      </c>
      <c r="E67">
        <v>8.32</v>
      </c>
      <c r="F67">
        <v>1802</v>
      </c>
      <c r="G67">
        <v>148.9</v>
      </c>
      <c r="H67">
        <v>1.1000000000000001</v>
      </c>
      <c r="I67">
        <v>100.5</v>
      </c>
      <c r="J67">
        <v>93</v>
      </c>
    </row>
    <row r="68" spans="1:10" x14ac:dyDescent="0.3">
      <c r="A68" s="1">
        <v>44593</v>
      </c>
      <c r="B68" t="s">
        <v>15</v>
      </c>
      <c r="C68">
        <v>304</v>
      </c>
      <c r="D68">
        <v>4.5270000000000001</v>
      </c>
      <c r="E68">
        <v>8.2680000000000007</v>
      </c>
      <c r="F68">
        <v>1826</v>
      </c>
      <c r="G68">
        <v>161.69999999999999</v>
      </c>
      <c r="H68">
        <v>-1.9</v>
      </c>
      <c r="I68">
        <v>97.5</v>
      </c>
      <c r="J68">
        <v>94.5</v>
      </c>
    </row>
    <row r="69" spans="1:10" x14ac:dyDescent="0.3">
      <c r="A69" s="1">
        <v>44621</v>
      </c>
      <c r="B69" t="s">
        <v>15</v>
      </c>
      <c r="C69">
        <v>314</v>
      </c>
      <c r="D69">
        <v>5.4059999999999997</v>
      </c>
      <c r="E69">
        <v>9.6059999999999999</v>
      </c>
      <c r="F69">
        <v>1777</v>
      </c>
      <c r="G69">
        <v>174.4</v>
      </c>
      <c r="H69">
        <v>19.399999999999999</v>
      </c>
      <c r="I69">
        <v>97.9</v>
      </c>
      <c r="J69">
        <v>90.3</v>
      </c>
    </row>
    <row r="70" spans="1:10" x14ac:dyDescent="0.3">
      <c r="A70" s="1">
        <v>44652</v>
      </c>
      <c r="B70" t="s">
        <v>16</v>
      </c>
      <c r="C70">
        <v>316</v>
      </c>
      <c r="D70">
        <v>5.5830000000000002</v>
      </c>
      <c r="E70">
        <v>9.8330000000000002</v>
      </c>
      <c r="F70">
        <v>1761</v>
      </c>
      <c r="G70">
        <v>186.1</v>
      </c>
      <c r="H70">
        <v>3.3</v>
      </c>
      <c r="I70">
        <v>111.4</v>
      </c>
      <c r="J70">
        <v>99.2</v>
      </c>
    </row>
    <row r="71" spans="1:10" x14ac:dyDescent="0.3">
      <c r="A71" s="1">
        <v>44682</v>
      </c>
      <c r="B71" t="s">
        <v>16</v>
      </c>
      <c r="C71">
        <v>323</v>
      </c>
      <c r="D71">
        <v>5.9550000000000001</v>
      </c>
      <c r="E71">
        <v>10.414999999999999</v>
      </c>
      <c r="F71">
        <v>1749</v>
      </c>
      <c r="G71">
        <v>192.1</v>
      </c>
      <c r="H71">
        <v>6.7</v>
      </c>
      <c r="I71">
        <v>134.5</v>
      </c>
      <c r="J71">
        <v>112.3</v>
      </c>
    </row>
    <row r="72" spans="1:10" x14ac:dyDescent="0.3">
      <c r="A72" s="1">
        <v>44713</v>
      </c>
      <c r="B72" t="s">
        <v>16</v>
      </c>
      <c r="C72">
        <v>330</v>
      </c>
      <c r="D72">
        <v>5.8630000000000004</v>
      </c>
      <c r="E72">
        <v>10.144</v>
      </c>
      <c r="F72">
        <v>1730</v>
      </c>
      <c r="G72">
        <v>195.4</v>
      </c>
      <c r="H72">
        <v>-1.6</v>
      </c>
      <c r="I72">
        <v>108.8</v>
      </c>
      <c r="J72">
        <v>85.3</v>
      </c>
    </row>
    <row r="73" spans="1:10" x14ac:dyDescent="0.3">
      <c r="A73" s="1">
        <v>44743</v>
      </c>
      <c r="B73" t="s">
        <v>16</v>
      </c>
      <c r="C73">
        <v>338</v>
      </c>
      <c r="D73">
        <v>6.2880000000000003</v>
      </c>
      <c r="E73">
        <v>10.63</v>
      </c>
      <c r="F73">
        <v>1690</v>
      </c>
      <c r="G73">
        <v>202.9</v>
      </c>
      <c r="H73">
        <v>7.3</v>
      </c>
      <c r="I73">
        <v>93.6</v>
      </c>
      <c r="J73">
        <v>75.3</v>
      </c>
    </row>
    <row r="74" spans="1:10" x14ac:dyDescent="0.3">
      <c r="A74" s="1">
        <v>44774</v>
      </c>
      <c r="B74" t="s">
        <v>16</v>
      </c>
      <c r="C74">
        <v>346</v>
      </c>
      <c r="D74">
        <v>6.58</v>
      </c>
      <c r="E74">
        <v>10.728</v>
      </c>
      <c r="F74">
        <v>1630</v>
      </c>
      <c r="G74">
        <v>212.2</v>
      </c>
      <c r="H74">
        <v>4.5999999999999996</v>
      </c>
      <c r="I74">
        <v>85.1</v>
      </c>
      <c r="J74">
        <v>67.900000000000006</v>
      </c>
    </row>
    <row r="75" spans="1:10" x14ac:dyDescent="0.3">
      <c r="A75" s="1">
        <v>44805</v>
      </c>
      <c r="B75" t="s">
        <v>16</v>
      </c>
      <c r="C75">
        <v>358</v>
      </c>
      <c r="D75">
        <v>6.7809999999999997</v>
      </c>
      <c r="E75">
        <v>11.164</v>
      </c>
      <c r="F75">
        <v>1646</v>
      </c>
      <c r="G75">
        <v>226</v>
      </c>
      <c r="H75">
        <v>3.1</v>
      </c>
      <c r="I75">
        <v>85.6</v>
      </c>
      <c r="J75">
        <v>70.599999999999994</v>
      </c>
    </row>
    <row r="76" spans="1:10" x14ac:dyDescent="0.3">
      <c r="A76" s="1">
        <v>44835</v>
      </c>
      <c r="B76" t="s">
        <v>16</v>
      </c>
      <c r="C76">
        <v>365</v>
      </c>
      <c r="D76">
        <v>7.3049999999999997</v>
      </c>
      <c r="E76">
        <v>12.116</v>
      </c>
      <c r="F76">
        <v>1658</v>
      </c>
      <c r="G76">
        <v>235.7</v>
      </c>
      <c r="H76">
        <v>7.7</v>
      </c>
      <c r="I76">
        <v>73.2</v>
      </c>
      <c r="J76">
        <v>57.1</v>
      </c>
    </row>
    <row r="77" spans="1:10" x14ac:dyDescent="0.3">
      <c r="A77" s="1">
        <v>44866</v>
      </c>
      <c r="B77" t="s">
        <v>16</v>
      </c>
      <c r="C77">
        <v>376</v>
      </c>
      <c r="D77">
        <v>7.3090000000000002</v>
      </c>
      <c r="E77">
        <v>11.906000000000001</v>
      </c>
      <c r="F77">
        <v>1629</v>
      </c>
      <c r="G77">
        <v>243.6</v>
      </c>
      <c r="H77">
        <v>0.1</v>
      </c>
      <c r="I77">
        <v>74.599999999999994</v>
      </c>
      <c r="J77">
        <v>54.9</v>
      </c>
    </row>
    <row r="78" spans="1:10" x14ac:dyDescent="0.3">
      <c r="A78" s="1">
        <v>44896</v>
      </c>
      <c r="B78" t="s">
        <v>16</v>
      </c>
      <c r="C78">
        <v>382</v>
      </c>
      <c r="D78">
        <v>7.8289999999999997</v>
      </c>
      <c r="E78">
        <v>12.821</v>
      </c>
      <c r="F78">
        <v>1637</v>
      </c>
      <c r="G78">
        <v>252.6</v>
      </c>
      <c r="H78">
        <v>7.1</v>
      </c>
      <c r="I78">
        <v>71.5</v>
      </c>
      <c r="J78">
        <v>55.1</v>
      </c>
    </row>
    <row r="79" spans="1:10" x14ac:dyDescent="0.3">
      <c r="A79" s="1">
        <v>44927</v>
      </c>
      <c r="B79" t="s">
        <v>16</v>
      </c>
      <c r="C79">
        <v>385</v>
      </c>
      <c r="D79">
        <v>8.0370000000000008</v>
      </c>
      <c r="E79">
        <v>12.987</v>
      </c>
      <c r="F79">
        <v>1616</v>
      </c>
      <c r="G79">
        <v>259.3</v>
      </c>
      <c r="H79">
        <v>2.6</v>
      </c>
      <c r="I79">
        <v>74.099999999999994</v>
      </c>
      <c r="J79">
        <v>56.1</v>
      </c>
    </row>
    <row r="80" spans="1:10" x14ac:dyDescent="0.3">
      <c r="A80" s="1">
        <v>44958</v>
      </c>
      <c r="B80" t="s">
        <v>16</v>
      </c>
      <c r="C80">
        <v>390</v>
      </c>
      <c r="D80">
        <v>7.5350000000000001</v>
      </c>
      <c r="E80">
        <v>12.358000000000001</v>
      </c>
      <c r="F80">
        <v>1640</v>
      </c>
      <c r="G80">
        <v>269.10000000000002</v>
      </c>
      <c r="H80">
        <v>-6.2</v>
      </c>
      <c r="I80">
        <v>66.400000000000006</v>
      </c>
      <c r="J80">
        <v>49.5</v>
      </c>
    </row>
    <row r="81" spans="1:10" x14ac:dyDescent="0.3">
      <c r="A81" s="1">
        <v>44986</v>
      </c>
      <c r="B81" t="s">
        <v>16</v>
      </c>
      <c r="C81">
        <v>399</v>
      </c>
      <c r="D81">
        <v>8.6850000000000005</v>
      </c>
      <c r="E81">
        <v>14.103999999999999</v>
      </c>
      <c r="F81">
        <v>1624</v>
      </c>
      <c r="G81">
        <v>280.2</v>
      </c>
      <c r="H81">
        <v>15.3</v>
      </c>
      <c r="I81">
        <v>60.7</v>
      </c>
      <c r="J81">
        <v>46.8</v>
      </c>
    </row>
    <row r="82" spans="1:10" x14ac:dyDescent="0.3">
      <c r="A82" s="1">
        <v>45017</v>
      </c>
      <c r="B82" t="s">
        <v>17</v>
      </c>
      <c r="C82">
        <v>414</v>
      </c>
      <c r="D82">
        <v>8.8629999999999995</v>
      </c>
      <c r="E82">
        <v>14.154999999999999</v>
      </c>
      <c r="F82">
        <v>1597</v>
      </c>
      <c r="G82">
        <v>295.39999999999998</v>
      </c>
      <c r="H82">
        <v>2</v>
      </c>
      <c r="I82">
        <v>58.8</v>
      </c>
      <c r="J82">
        <v>44</v>
      </c>
    </row>
    <row r="83" spans="1:10" x14ac:dyDescent="0.3">
      <c r="A83" s="1">
        <v>45047</v>
      </c>
      <c r="B83" t="s">
        <v>17</v>
      </c>
      <c r="C83">
        <v>445</v>
      </c>
      <c r="D83">
        <v>9.4149999999999991</v>
      </c>
      <c r="E83">
        <v>14.891</v>
      </c>
      <c r="F83">
        <v>1582</v>
      </c>
      <c r="G83">
        <v>303.7</v>
      </c>
      <c r="H83">
        <v>6.2</v>
      </c>
      <c r="I83">
        <v>58.1</v>
      </c>
      <c r="J83">
        <v>43</v>
      </c>
    </row>
    <row r="84" spans="1:10" x14ac:dyDescent="0.3">
      <c r="A84" s="1">
        <v>45078</v>
      </c>
      <c r="B84" t="s">
        <v>17</v>
      </c>
      <c r="C84">
        <v>458</v>
      </c>
      <c r="D84">
        <v>9.3350000000000009</v>
      </c>
      <c r="E84">
        <v>14.755000000000001</v>
      </c>
      <c r="F84">
        <v>1581</v>
      </c>
      <c r="G84">
        <v>311.2</v>
      </c>
      <c r="H84">
        <v>-0.9</v>
      </c>
      <c r="I84">
        <v>59.2</v>
      </c>
      <c r="J84">
        <v>45.5</v>
      </c>
    </row>
    <row r="85" spans="1:10" x14ac:dyDescent="0.3">
      <c r="A85" s="1">
        <v>45108</v>
      </c>
      <c r="B85" t="s">
        <v>17</v>
      </c>
      <c r="C85">
        <v>473</v>
      </c>
      <c r="D85">
        <v>9.9649999999999999</v>
      </c>
      <c r="E85">
        <v>15.335000000000001</v>
      </c>
      <c r="F85">
        <v>1539</v>
      </c>
      <c r="G85">
        <v>321.39999999999998</v>
      </c>
      <c r="H85">
        <v>6.7</v>
      </c>
      <c r="I85">
        <v>58.5</v>
      </c>
      <c r="J85">
        <v>44.3</v>
      </c>
    </row>
    <row r="86" spans="1:10" x14ac:dyDescent="0.3">
      <c r="A86" s="1">
        <v>45139</v>
      </c>
      <c r="B86" t="s">
        <v>17</v>
      </c>
      <c r="C86">
        <v>484</v>
      </c>
      <c r="D86">
        <v>10.586</v>
      </c>
      <c r="E86">
        <v>15.765000000000001</v>
      </c>
      <c r="F86">
        <v>1489</v>
      </c>
      <c r="G86">
        <v>341.5</v>
      </c>
      <c r="H86">
        <v>6.2</v>
      </c>
      <c r="I86">
        <v>60.9</v>
      </c>
      <c r="J86">
        <v>47</v>
      </c>
    </row>
    <row r="87" spans="1:10" x14ac:dyDescent="0.3">
      <c r="A87" s="1">
        <v>45170</v>
      </c>
      <c r="B87" t="s">
        <v>17</v>
      </c>
      <c r="C87">
        <v>492</v>
      </c>
      <c r="D87">
        <v>10.555999999999999</v>
      </c>
      <c r="E87">
        <v>15.791</v>
      </c>
      <c r="F87">
        <v>1496</v>
      </c>
      <c r="G87">
        <v>351.9</v>
      </c>
      <c r="H87">
        <v>-0.3</v>
      </c>
      <c r="I87">
        <v>55.7</v>
      </c>
      <c r="J87">
        <v>41.4</v>
      </c>
    </row>
    <row r="88" spans="1:10" x14ac:dyDescent="0.3">
      <c r="A88" s="1">
        <v>45200</v>
      </c>
      <c r="B88" t="s">
        <v>17</v>
      </c>
      <c r="C88">
        <v>505</v>
      </c>
      <c r="D88">
        <v>11.409000000000001</v>
      </c>
      <c r="E88">
        <v>17.158000000000001</v>
      </c>
      <c r="F88">
        <v>1504</v>
      </c>
      <c r="G88">
        <v>368</v>
      </c>
      <c r="H88">
        <v>8.1</v>
      </c>
      <c r="I88">
        <v>56.2</v>
      </c>
      <c r="J88">
        <v>41.6</v>
      </c>
    </row>
    <row r="89" spans="1:10" x14ac:dyDescent="0.3">
      <c r="A89" s="1">
        <v>45231</v>
      </c>
      <c r="B89" t="s">
        <v>17</v>
      </c>
      <c r="C89">
        <v>516</v>
      </c>
      <c r="D89">
        <v>11.234999999999999</v>
      </c>
      <c r="E89">
        <v>17.396999999999998</v>
      </c>
      <c r="F89">
        <v>1548</v>
      </c>
      <c r="G89">
        <v>374.5</v>
      </c>
      <c r="H89">
        <v>-1.5</v>
      </c>
      <c r="I89">
        <v>53.7</v>
      </c>
      <c r="J89">
        <v>46.1</v>
      </c>
    </row>
    <row r="90" spans="1:10" x14ac:dyDescent="0.3">
      <c r="A90" s="1">
        <v>45261</v>
      </c>
      <c r="B90" t="s">
        <v>17</v>
      </c>
      <c r="C90">
        <v>522</v>
      </c>
      <c r="D90">
        <v>12.02</v>
      </c>
      <c r="E90">
        <v>18.228999999999999</v>
      </c>
      <c r="F90">
        <v>1517</v>
      </c>
      <c r="G90">
        <v>387.7</v>
      </c>
      <c r="H90">
        <v>7</v>
      </c>
      <c r="I90">
        <v>53.5</v>
      </c>
      <c r="J90">
        <v>42.2</v>
      </c>
    </row>
    <row r="91" spans="1:10" x14ac:dyDescent="0.3">
      <c r="A91" s="1">
        <v>45292</v>
      </c>
      <c r="B91" t="s">
        <v>17</v>
      </c>
      <c r="C91">
        <v>550</v>
      </c>
      <c r="D91">
        <v>12.202999999999999</v>
      </c>
      <c r="E91">
        <v>18.411000000000001</v>
      </c>
      <c r="F91">
        <v>1509</v>
      </c>
      <c r="G91">
        <v>393.6</v>
      </c>
      <c r="H91">
        <v>1.5</v>
      </c>
      <c r="I91">
        <v>51.8</v>
      </c>
      <c r="J91">
        <v>41.8</v>
      </c>
    </row>
    <row r="92" spans="1:10" x14ac:dyDescent="0.3">
      <c r="A92" s="1">
        <v>45323</v>
      </c>
      <c r="B92" t="s">
        <v>17</v>
      </c>
      <c r="C92">
        <v>560</v>
      </c>
      <c r="D92">
        <v>12.103</v>
      </c>
      <c r="E92">
        <v>18.279</v>
      </c>
      <c r="F92">
        <v>1510</v>
      </c>
      <c r="G92">
        <v>417.3</v>
      </c>
      <c r="H92">
        <v>-0.8</v>
      </c>
      <c r="I92">
        <v>60.6</v>
      </c>
      <c r="J92">
        <v>47.9</v>
      </c>
    </row>
    <row r="93" spans="1:10" x14ac:dyDescent="0.3">
      <c r="A93" s="1">
        <v>45352</v>
      </c>
      <c r="B93" t="s">
        <v>17</v>
      </c>
      <c r="C93">
        <v>572</v>
      </c>
      <c r="D93">
        <v>13.44</v>
      </c>
      <c r="E93">
        <v>19.783999999999999</v>
      </c>
      <c r="F93">
        <v>1472</v>
      </c>
      <c r="G93">
        <v>433.5</v>
      </c>
      <c r="H93">
        <v>11</v>
      </c>
      <c r="I93">
        <v>54.7</v>
      </c>
      <c r="J93">
        <v>40.299999999999997</v>
      </c>
    </row>
    <row r="94" spans="1:10" x14ac:dyDescent="0.3">
      <c r="A94" s="1">
        <v>45383</v>
      </c>
      <c r="B94" t="s">
        <v>18</v>
      </c>
      <c r="C94">
        <v>583</v>
      </c>
      <c r="D94">
        <v>13.304</v>
      </c>
      <c r="E94">
        <v>19.645</v>
      </c>
      <c r="F94">
        <v>1477</v>
      </c>
      <c r="G94">
        <v>443.5</v>
      </c>
      <c r="H94">
        <v>-1</v>
      </c>
      <c r="I94">
        <v>50.1</v>
      </c>
      <c r="J94">
        <v>38.799999999999997</v>
      </c>
    </row>
    <row r="95" spans="1:10" x14ac:dyDescent="0.3">
      <c r="A95" s="1">
        <v>45413</v>
      </c>
      <c r="B95" t="s">
        <v>18</v>
      </c>
      <c r="C95">
        <v>598</v>
      </c>
      <c r="D95">
        <v>14.036</v>
      </c>
      <c r="E95">
        <v>20.449000000000002</v>
      </c>
      <c r="F95">
        <v>1457</v>
      </c>
      <c r="G95">
        <v>452.8</v>
      </c>
      <c r="H95">
        <v>5.5</v>
      </c>
      <c r="I95">
        <v>49.1</v>
      </c>
      <c r="J95">
        <v>37.299999999999997</v>
      </c>
    </row>
    <row r="96" spans="1:10" x14ac:dyDescent="0.3">
      <c r="A96" s="1">
        <v>45444</v>
      </c>
      <c r="B96" t="s">
        <v>18</v>
      </c>
      <c r="C96">
        <v>602</v>
      </c>
      <c r="D96">
        <v>13.885</v>
      </c>
      <c r="E96">
        <v>20.071000000000002</v>
      </c>
      <c r="F96">
        <v>1445</v>
      </c>
      <c r="G96">
        <v>462.8</v>
      </c>
      <c r="H96">
        <v>-1.1000000000000001</v>
      </c>
      <c r="I96">
        <v>48.7</v>
      </c>
      <c r="J96">
        <v>36</v>
      </c>
    </row>
    <row r="97" spans="1:10" x14ac:dyDescent="0.3">
      <c r="A97" s="1">
        <v>45474</v>
      </c>
      <c r="B97" t="s">
        <v>18</v>
      </c>
      <c r="C97">
        <v>605</v>
      </c>
      <c r="D97">
        <v>14.436</v>
      </c>
      <c r="E97">
        <v>20.643000000000001</v>
      </c>
      <c r="F97">
        <v>1430</v>
      </c>
      <c r="G97">
        <v>465.7</v>
      </c>
      <c r="H97">
        <v>4</v>
      </c>
      <c r="I97">
        <v>44.9</v>
      </c>
      <c r="J97">
        <v>34.6</v>
      </c>
    </row>
    <row r="98" spans="1:10" x14ac:dyDescent="0.3">
      <c r="A98" s="1">
        <v>45505</v>
      </c>
      <c r="B98" t="s">
        <v>18</v>
      </c>
      <c r="C98">
        <v>608</v>
      </c>
      <c r="D98">
        <v>14.962999999999999</v>
      </c>
      <c r="E98">
        <v>20.606999999999999</v>
      </c>
      <c r="F98">
        <v>1377</v>
      </c>
      <c r="G98">
        <v>482.7</v>
      </c>
      <c r="H98">
        <v>3.7</v>
      </c>
      <c r="I98">
        <v>41.3</v>
      </c>
      <c r="J98">
        <v>30.7</v>
      </c>
    </row>
    <row r="99" spans="1:10" x14ac:dyDescent="0.3">
      <c r="A99" s="1">
        <v>45536</v>
      </c>
      <c r="B99" t="s">
        <v>18</v>
      </c>
      <c r="C99">
        <v>622</v>
      </c>
      <c r="D99">
        <v>15.042</v>
      </c>
      <c r="E99">
        <v>20.64</v>
      </c>
      <c r="F99">
        <v>1372</v>
      </c>
      <c r="G99">
        <v>501.4</v>
      </c>
      <c r="H99">
        <v>0.5</v>
      </c>
      <c r="I99">
        <v>42.5</v>
      </c>
      <c r="J99">
        <v>30.7</v>
      </c>
    </row>
    <row r="100" spans="1:10" x14ac:dyDescent="0.3">
      <c r="A100" s="1">
        <v>45566</v>
      </c>
      <c r="B100" t="s">
        <v>18</v>
      </c>
      <c r="C100">
        <v>632</v>
      </c>
      <c r="D100">
        <v>16.585000000000001</v>
      </c>
      <c r="E100">
        <v>23.498000000000001</v>
      </c>
      <c r="F100">
        <v>1417</v>
      </c>
      <c r="G100">
        <v>535</v>
      </c>
      <c r="H100">
        <v>10.3</v>
      </c>
      <c r="I100">
        <v>45.4</v>
      </c>
      <c r="J100">
        <v>37</v>
      </c>
    </row>
    <row r="101" spans="1:10" x14ac:dyDescent="0.3">
      <c r="A101" s="1">
        <v>45597</v>
      </c>
      <c r="B101" t="s">
        <v>18</v>
      </c>
      <c r="C101">
        <v>637</v>
      </c>
      <c r="D101">
        <v>15.481999999999999</v>
      </c>
      <c r="E101">
        <v>21.552</v>
      </c>
      <c r="F101">
        <v>1392</v>
      </c>
      <c r="G101">
        <v>516.1</v>
      </c>
      <c r="H101">
        <v>-6.7</v>
      </c>
      <c r="I101">
        <v>37.799999999999997</v>
      </c>
      <c r="J101">
        <v>23.9</v>
      </c>
    </row>
    <row r="102" spans="1:10" x14ac:dyDescent="0.3">
      <c r="A102" s="1">
        <v>45627</v>
      </c>
      <c r="B102" t="s">
        <v>18</v>
      </c>
      <c r="C102">
        <v>641</v>
      </c>
      <c r="D102">
        <v>16.73</v>
      </c>
      <c r="E102">
        <v>23.247</v>
      </c>
      <c r="F102">
        <v>1390</v>
      </c>
      <c r="G102">
        <v>539.70000000000005</v>
      </c>
      <c r="H102">
        <v>8.1</v>
      </c>
      <c r="I102">
        <v>39.200000000000003</v>
      </c>
      <c r="J102">
        <v>27.5</v>
      </c>
    </row>
    <row r="103" spans="1:10" x14ac:dyDescent="0.3">
      <c r="A103" s="1">
        <v>45658</v>
      </c>
      <c r="B103" t="s">
        <v>18</v>
      </c>
      <c r="C103">
        <v>647</v>
      </c>
      <c r="D103">
        <v>16.995999999999999</v>
      </c>
      <c r="E103">
        <v>23.48</v>
      </c>
      <c r="F103">
        <v>1382</v>
      </c>
      <c r="G103">
        <v>548.29999999999995</v>
      </c>
      <c r="H103">
        <v>1.6</v>
      </c>
      <c r="I103">
        <v>39.299999999999997</v>
      </c>
      <c r="J103">
        <v>27.5</v>
      </c>
    </row>
    <row r="104" spans="1:10" x14ac:dyDescent="0.3">
      <c r="A104" s="1">
        <v>45689</v>
      </c>
      <c r="B104" t="s">
        <v>18</v>
      </c>
      <c r="C104">
        <v>653</v>
      </c>
      <c r="D104">
        <v>16.106000000000002</v>
      </c>
      <c r="E104">
        <v>21.965</v>
      </c>
      <c r="F104">
        <v>1364</v>
      </c>
      <c r="G104">
        <v>575.20000000000005</v>
      </c>
      <c r="H104">
        <v>-5.2</v>
      </c>
      <c r="I104">
        <v>33.1</v>
      </c>
      <c r="J104">
        <v>20.2</v>
      </c>
    </row>
    <row r="105" spans="1:10" x14ac:dyDescent="0.3">
      <c r="A105" s="1">
        <v>45717</v>
      </c>
      <c r="B105" t="s">
        <v>18</v>
      </c>
      <c r="C105">
        <v>661</v>
      </c>
      <c r="D105">
        <v>18.302</v>
      </c>
      <c r="E105">
        <v>24.771999999999998</v>
      </c>
      <c r="F105">
        <v>1354</v>
      </c>
      <c r="G105">
        <v>590.4</v>
      </c>
      <c r="H105">
        <v>13.6</v>
      </c>
      <c r="I105">
        <v>36.200000000000003</v>
      </c>
      <c r="J105">
        <v>25.2</v>
      </c>
    </row>
    <row r="106" spans="1:10" x14ac:dyDescent="0.3">
      <c r="A106" s="1">
        <v>45748</v>
      </c>
      <c r="B106" t="s">
        <v>19</v>
      </c>
      <c r="C106">
        <v>668</v>
      </c>
      <c r="D106">
        <v>17.893000000000001</v>
      </c>
      <c r="E106">
        <v>23.949000000000002</v>
      </c>
      <c r="F106">
        <v>1338</v>
      </c>
      <c r="G106">
        <v>596.4</v>
      </c>
      <c r="H106">
        <v>-2.2000000000000002</v>
      </c>
      <c r="I106">
        <v>34.5</v>
      </c>
      <c r="J106">
        <v>21.9</v>
      </c>
    </row>
    <row r="107" spans="1:10" x14ac:dyDescent="0.3">
      <c r="A107" s="1">
        <v>45778</v>
      </c>
      <c r="B107" t="s">
        <v>19</v>
      </c>
      <c r="C107">
        <v>673</v>
      </c>
      <c r="D107">
        <v>18.677</v>
      </c>
      <c r="E107">
        <v>25.143000000000001</v>
      </c>
      <c r="F107">
        <v>1346</v>
      </c>
      <c r="G107">
        <v>602.5</v>
      </c>
      <c r="H107">
        <v>4.4000000000000004</v>
      </c>
      <c r="I107">
        <v>33.1</v>
      </c>
      <c r="J107">
        <v>23</v>
      </c>
    </row>
    <row r="108" spans="1:10" x14ac:dyDescent="0.3">
      <c r="A108" s="1">
        <v>45809</v>
      </c>
      <c r="B108" t="s">
        <v>19</v>
      </c>
      <c r="C108">
        <v>675</v>
      </c>
      <c r="D108">
        <v>18.395</v>
      </c>
      <c r="E108">
        <v>24.039000000000001</v>
      </c>
      <c r="F108">
        <v>1307</v>
      </c>
      <c r="G108">
        <v>613.20000000000005</v>
      </c>
      <c r="H108">
        <v>-1.5</v>
      </c>
      <c r="I108">
        <v>32.5</v>
      </c>
      <c r="J108">
        <v>19.8</v>
      </c>
    </row>
    <row r="109" spans="1:10" x14ac:dyDescent="0.3">
      <c r="A109" s="1">
        <v>45839</v>
      </c>
      <c r="B109" t="s">
        <v>19</v>
      </c>
      <c r="C109">
        <v>684</v>
      </c>
      <c r="D109">
        <v>19.468</v>
      </c>
      <c r="E109">
        <v>25.085000000000001</v>
      </c>
      <c r="F109">
        <v>1289</v>
      </c>
      <c r="G109">
        <v>628</v>
      </c>
      <c r="H109">
        <v>5.8</v>
      </c>
      <c r="I109">
        <v>34.9</v>
      </c>
      <c r="J109">
        <v>21.5</v>
      </c>
    </row>
    <row r="110" spans="1:10" x14ac:dyDescent="0.3">
      <c r="A110" s="1">
        <v>45870</v>
      </c>
      <c r="B110" t="s">
        <v>19</v>
      </c>
      <c r="C110">
        <v>688</v>
      </c>
      <c r="D110">
        <v>20.007999999999999</v>
      </c>
      <c r="E110">
        <v>24.855</v>
      </c>
      <c r="F110">
        <v>1242</v>
      </c>
      <c r="G110">
        <v>645.4</v>
      </c>
      <c r="H110">
        <v>2.8</v>
      </c>
      <c r="I110">
        <v>33.700000000000003</v>
      </c>
      <c r="J110">
        <v>20.6</v>
      </c>
    </row>
    <row r="111" spans="1:10" x14ac:dyDescent="0.3">
      <c r="A111" s="1">
        <v>45901</v>
      </c>
      <c r="B111" t="s">
        <v>19</v>
      </c>
      <c r="C111">
        <v>686</v>
      </c>
      <c r="D111">
        <v>19.632999999999999</v>
      </c>
      <c r="E111">
        <v>24.896999999999998</v>
      </c>
      <c r="F111">
        <v>1268</v>
      </c>
      <c r="G111">
        <v>654.4</v>
      </c>
      <c r="H111">
        <v>-1.9</v>
      </c>
      <c r="I111">
        <v>30.5</v>
      </c>
      <c r="J111">
        <v>20.6</v>
      </c>
    </row>
    <row r="112" spans="1:10" x14ac:dyDescent="0.3">
      <c r="A112" s="1">
        <v>45931</v>
      </c>
      <c r="B112" t="s">
        <v>19</v>
      </c>
      <c r="C112">
        <v>683</v>
      </c>
      <c r="D112">
        <v>20.701000000000001</v>
      </c>
      <c r="E112">
        <v>27.277999999999999</v>
      </c>
      <c r="F112">
        <v>1318</v>
      </c>
      <c r="G112">
        <v>667.8</v>
      </c>
      <c r="H112">
        <v>5.4</v>
      </c>
      <c r="I112">
        <v>24.8</v>
      </c>
      <c r="J112">
        <v>16.100000000000001</v>
      </c>
    </row>
    <row r="113" spans="1:10" x14ac:dyDescent="0.3">
      <c r="A113" s="1">
        <v>45962</v>
      </c>
      <c r="B113" t="s">
        <v>19</v>
      </c>
      <c r="C113">
        <v>684</v>
      </c>
      <c r="D113">
        <v>20.466999999999999</v>
      </c>
      <c r="E113">
        <v>26.315999999999999</v>
      </c>
      <c r="F113">
        <v>1286</v>
      </c>
      <c r="G113">
        <v>682.2</v>
      </c>
      <c r="H113">
        <v>-1.1000000000000001</v>
      </c>
      <c r="I113">
        <v>32.200000000000003</v>
      </c>
      <c r="J113">
        <v>22.1</v>
      </c>
    </row>
    <row r="114" spans="1:10" x14ac:dyDescent="0.3">
      <c r="A114" s="1">
        <v>45992</v>
      </c>
      <c r="B114" t="s">
        <v>19</v>
      </c>
      <c r="C114">
        <v>685</v>
      </c>
      <c r="D114">
        <v>21.635000000000002</v>
      </c>
      <c r="E114">
        <v>27.966999999999999</v>
      </c>
      <c r="F114">
        <v>1293</v>
      </c>
      <c r="G114">
        <v>697.9</v>
      </c>
      <c r="H114">
        <v>5.7</v>
      </c>
      <c r="I114">
        <v>29.3</v>
      </c>
      <c r="J114">
        <v>20.3</v>
      </c>
    </row>
    <row r="115" spans="1:10" x14ac:dyDescent="0.3">
      <c r="A115" s="1">
        <v>46023</v>
      </c>
      <c r="B115" t="s">
        <v>19</v>
      </c>
      <c r="C115">
        <v>691</v>
      </c>
      <c r="D115">
        <v>21.702999999999999</v>
      </c>
      <c r="E115">
        <v>28.335000000000001</v>
      </c>
      <c r="F115">
        <v>1306</v>
      </c>
      <c r="G115">
        <v>700.1</v>
      </c>
      <c r="H115">
        <v>0.3</v>
      </c>
      <c r="I115">
        <v>27.7</v>
      </c>
      <c r="J115">
        <v>20.7</v>
      </c>
    </row>
    <row r="116" spans="1:10" x14ac:dyDescent="0.3">
      <c r="A116" s="1">
        <v>46054</v>
      </c>
      <c r="B116" t="s">
        <v>19</v>
      </c>
      <c r="C116">
        <v>694</v>
      </c>
      <c r="D116">
        <v>20.393999999999998</v>
      </c>
      <c r="E116">
        <v>26.841999999999999</v>
      </c>
      <c r="F116">
        <v>1316</v>
      </c>
      <c r="G116">
        <v>728.4</v>
      </c>
      <c r="H116">
        <v>-6</v>
      </c>
      <c r="I116">
        <v>26.6</v>
      </c>
      <c r="J116">
        <v>22.2</v>
      </c>
    </row>
    <row r="117" spans="1:10" x14ac:dyDescent="0.3">
      <c r="A117" s="1">
        <v>46082</v>
      </c>
      <c r="B117" t="s">
        <v>19</v>
      </c>
      <c r="C117">
        <v>705</v>
      </c>
      <c r="D117">
        <v>22.640999999999998</v>
      </c>
      <c r="E117">
        <v>29.524999999999999</v>
      </c>
      <c r="F117">
        <v>1304</v>
      </c>
      <c r="G117">
        <v>730.4</v>
      </c>
      <c r="H117">
        <v>11</v>
      </c>
      <c r="I117">
        <v>23.7</v>
      </c>
      <c r="J117">
        <v>19.2</v>
      </c>
    </row>
    <row r="118" spans="1:10" x14ac:dyDescent="0.3">
      <c r="A118" s="1">
        <v>46113</v>
      </c>
      <c r="B118" t="s">
        <v>20</v>
      </c>
      <c r="C118">
        <v>713</v>
      </c>
      <c r="D118">
        <v>22.347000000000001</v>
      </c>
      <c r="E118">
        <v>29.03</v>
      </c>
      <c r="F118">
        <v>1299</v>
      </c>
      <c r="G118">
        <v>744.9</v>
      </c>
      <c r="H118">
        <v>-1.3</v>
      </c>
      <c r="I118">
        <v>24.9</v>
      </c>
      <c r="J118">
        <v>21.2</v>
      </c>
    </row>
    <row r="119" spans="1:10" x14ac:dyDescent="0.3">
      <c r="A119" s="1">
        <v>46143</v>
      </c>
      <c r="B119" t="s">
        <v>20</v>
      </c>
      <c r="C119">
        <v>720</v>
      </c>
      <c r="D119">
        <v>23.202000000000002</v>
      </c>
      <c r="E119">
        <v>29.904</v>
      </c>
      <c r="F119">
        <v>1289</v>
      </c>
      <c r="G119">
        <v>748.4</v>
      </c>
      <c r="H119">
        <v>3.8</v>
      </c>
      <c r="I119">
        <v>24.2</v>
      </c>
      <c r="J119">
        <v>18.899999999999999</v>
      </c>
    </row>
    <row r="120" spans="1:10" x14ac:dyDescent="0.3">
      <c r="A120" s="1">
        <v>46174</v>
      </c>
      <c r="B120" t="s">
        <v>20</v>
      </c>
      <c r="C120">
        <v>731</v>
      </c>
      <c r="D120">
        <v>22.716000000000001</v>
      </c>
      <c r="E120">
        <v>28.920999999999999</v>
      </c>
      <c r="F120">
        <v>1273</v>
      </c>
      <c r="G120">
        <v>757.2</v>
      </c>
      <c r="H120">
        <v>-2.1</v>
      </c>
      <c r="I120">
        <v>23.5</v>
      </c>
      <c r="J120">
        <v>20.3</v>
      </c>
    </row>
    <row r="121" spans="1:10" x14ac:dyDescent="0.3">
      <c r="A121" s="1">
        <v>46204</v>
      </c>
      <c r="B121" t="s">
        <v>20</v>
      </c>
      <c r="C121">
        <v>741</v>
      </c>
      <c r="D121">
        <v>23.658000000000001</v>
      </c>
      <c r="E121">
        <v>29.879000000000001</v>
      </c>
      <c r="F121">
        <v>1263</v>
      </c>
      <c r="G121">
        <v>763.2</v>
      </c>
      <c r="H121">
        <v>4.0999999999999996</v>
      </c>
      <c r="I121">
        <v>21.5</v>
      </c>
      <c r="J121">
        <v>19.100000000000001</v>
      </c>
    </row>
    <row r="122" spans="1:10" x14ac:dyDescent="0.3">
      <c r="A122" s="1">
        <v>46235</v>
      </c>
      <c r="B122" t="s">
        <v>20</v>
      </c>
      <c r="C122">
        <v>752</v>
      </c>
      <c r="D122">
        <v>24.509</v>
      </c>
      <c r="E122">
        <v>29.824000000000002</v>
      </c>
      <c r="F122">
        <v>1217</v>
      </c>
      <c r="G122">
        <v>790.6</v>
      </c>
      <c r="H122">
        <v>3.6</v>
      </c>
      <c r="I122">
        <v>22.5</v>
      </c>
      <c r="J122">
        <v>20</v>
      </c>
    </row>
    <row r="123" spans="1:10" x14ac:dyDescent="0.3">
      <c r="A123" s="1">
        <v>46266</v>
      </c>
      <c r="B123" t="s">
        <v>20</v>
      </c>
      <c r="C123">
        <v>756</v>
      </c>
      <c r="D123">
        <v>24.068000000000001</v>
      </c>
      <c r="E123">
        <v>29.373999999999999</v>
      </c>
      <c r="F123">
        <v>1220</v>
      </c>
      <c r="G123">
        <v>802.3</v>
      </c>
      <c r="H123">
        <v>-1.8</v>
      </c>
      <c r="I123">
        <v>22.6</v>
      </c>
      <c r="J123">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58CF-4767-4821-84D3-B1F143873DC2}">
  <dimension ref="A1:F12"/>
  <sheetViews>
    <sheetView workbookViewId="0">
      <selection activeCell="T14" sqref="T14"/>
    </sheetView>
  </sheetViews>
  <sheetFormatPr defaultRowHeight="14.4" x14ac:dyDescent="0.3"/>
  <cols>
    <col min="1" max="1" width="12.109375" bestFit="1" customWidth="1"/>
    <col min="2" max="2" width="9.6640625" bestFit="1" customWidth="1"/>
    <col min="3" max="3" width="10.88671875" bestFit="1" customWidth="1"/>
    <col min="4" max="4" width="12.77734375" bestFit="1" customWidth="1"/>
    <col min="5" max="5" width="14.88671875" bestFit="1" customWidth="1"/>
    <col min="6" max="6" width="14.33203125" bestFit="1" customWidth="1"/>
  </cols>
  <sheetData>
    <row r="1" spans="1:6" x14ac:dyDescent="0.3">
      <c r="A1" t="s">
        <v>1</v>
      </c>
      <c r="B1" t="s">
        <v>21</v>
      </c>
      <c r="C1" t="s">
        <v>22</v>
      </c>
      <c r="D1" t="s">
        <v>3</v>
      </c>
      <c r="E1" t="s">
        <v>4</v>
      </c>
      <c r="F1" t="s">
        <v>5</v>
      </c>
    </row>
    <row r="2" spans="1:6" x14ac:dyDescent="0.3">
      <c r="A2" t="s">
        <v>10</v>
      </c>
      <c r="B2">
        <v>8</v>
      </c>
      <c r="C2" t="s">
        <v>23</v>
      </c>
      <c r="D2">
        <v>1.7999999999999999E-2</v>
      </c>
      <c r="E2">
        <v>7.0000000000000007E-2</v>
      </c>
      <c r="F2">
        <v>3912</v>
      </c>
    </row>
    <row r="3" spans="1:6" x14ac:dyDescent="0.3">
      <c r="A3" t="s">
        <v>11</v>
      </c>
      <c r="B3">
        <v>12</v>
      </c>
      <c r="C3" t="s">
        <v>24</v>
      </c>
      <c r="D3">
        <v>0.91500000000000004</v>
      </c>
      <c r="E3">
        <v>1.1000000000000001</v>
      </c>
      <c r="F3">
        <v>1200</v>
      </c>
    </row>
    <row r="4" spans="1:6" x14ac:dyDescent="0.3">
      <c r="A4" t="s">
        <v>12</v>
      </c>
      <c r="B4">
        <v>12</v>
      </c>
      <c r="C4" t="s">
        <v>24</v>
      </c>
      <c r="D4">
        <v>5.3920000000000003</v>
      </c>
      <c r="E4">
        <v>8.77</v>
      </c>
      <c r="F4">
        <v>1627</v>
      </c>
    </row>
    <row r="5" spans="1:6" x14ac:dyDescent="0.3">
      <c r="A5" t="s">
        <v>13</v>
      </c>
      <c r="B5">
        <v>12</v>
      </c>
      <c r="C5" t="s">
        <v>24</v>
      </c>
      <c r="D5">
        <v>12.519</v>
      </c>
      <c r="E5">
        <v>21.32</v>
      </c>
      <c r="F5">
        <v>1703</v>
      </c>
    </row>
    <row r="6" spans="1:6" x14ac:dyDescent="0.3">
      <c r="A6" t="s">
        <v>14</v>
      </c>
      <c r="B6">
        <v>12</v>
      </c>
      <c r="C6" t="s">
        <v>24</v>
      </c>
      <c r="D6">
        <v>22.331</v>
      </c>
      <c r="E6">
        <v>41.04</v>
      </c>
      <c r="F6">
        <v>1838</v>
      </c>
    </row>
    <row r="7" spans="1:6" x14ac:dyDescent="0.3">
      <c r="A7" t="s">
        <v>15</v>
      </c>
      <c r="B7">
        <v>12</v>
      </c>
      <c r="C7" t="s">
        <v>24</v>
      </c>
      <c r="D7">
        <v>45.968000000000004</v>
      </c>
      <c r="E7">
        <v>84.18</v>
      </c>
      <c r="F7">
        <v>1831</v>
      </c>
    </row>
    <row r="8" spans="1:6" x14ac:dyDescent="0.3">
      <c r="A8" t="s">
        <v>16</v>
      </c>
      <c r="B8">
        <v>12</v>
      </c>
      <c r="C8" t="s">
        <v>24</v>
      </c>
      <c r="D8">
        <v>83.751000000000005</v>
      </c>
      <c r="E8">
        <v>139.21</v>
      </c>
      <c r="F8">
        <v>1662</v>
      </c>
    </row>
    <row r="9" spans="1:6" x14ac:dyDescent="0.3">
      <c r="A9" t="s">
        <v>17</v>
      </c>
      <c r="B9">
        <v>12</v>
      </c>
      <c r="C9" t="s">
        <v>24</v>
      </c>
      <c r="D9">
        <v>131.13</v>
      </c>
      <c r="E9">
        <v>199.95</v>
      </c>
      <c r="F9">
        <v>1525</v>
      </c>
    </row>
    <row r="10" spans="1:6" x14ac:dyDescent="0.3">
      <c r="A10" t="s">
        <v>18</v>
      </c>
      <c r="B10">
        <v>12</v>
      </c>
      <c r="C10" t="s">
        <v>24</v>
      </c>
      <c r="D10">
        <v>185.86600000000001</v>
      </c>
      <c r="E10">
        <v>260.57</v>
      </c>
      <c r="F10">
        <v>1402</v>
      </c>
    </row>
    <row r="11" spans="1:6" x14ac:dyDescent="0.3">
      <c r="A11" t="s">
        <v>19</v>
      </c>
      <c r="B11">
        <v>12</v>
      </c>
      <c r="C11" t="s">
        <v>24</v>
      </c>
      <c r="D11">
        <v>241.61699999999999</v>
      </c>
      <c r="E11">
        <v>314.23</v>
      </c>
      <c r="F11">
        <v>1301</v>
      </c>
    </row>
    <row r="12" spans="1:6" x14ac:dyDescent="0.3">
      <c r="A12" t="s">
        <v>20</v>
      </c>
      <c r="B12">
        <v>6</v>
      </c>
      <c r="C12" t="s">
        <v>23</v>
      </c>
      <c r="D12">
        <v>140.5</v>
      </c>
      <c r="E12">
        <v>176.93</v>
      </c>
      <c r="F12">
        <v>1259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0FE5-FE71-4E85-84F3-2E807B25AE9A}">
  <dimension ref="A1:I2053"/>
  <sheetViews>
    <sheetView topLeftCell="A2" workbookViewId="0">
      <selection activeCell="B5" sqref="B5"/>
    </sheetView>
  </sheetViews>
  <sheetFormatPr defaultRowHeight="14.4" x14ac:dyDescent="0.3"/>
  <cols>
    <col min="1" max="1" width="13.6640625" bestFit="1" customWidth="1"/>
    <col min="2" max="2" width="28" bestFit="1" customWidth="1"/>
    <col min="3" max="3" width="12.44140625" bestFit="1" customWidth="1"/>
    <col min="4" max="4" width="13.33203125" bestFit="1" customWidth="1"/>
    <col min="5" max="5" width="11" bestFit="1" customWidth="1"/>
    <col min="6" max="6" width="15" bestFit="1" customWidth="1"/>
    <col min="7" max="7" width="14.88671875" bestFit="1" customWidth="1"/>
    <col min="8" max="8" width="14.33203125" bestFit="1" customWidth="1"/>
    <col min="9" max="9" width="10.5546875" bestFit="1" customWidth="1"/>
  </cols>
  <sheetData>
    <row r="1" spans="1:9" x14ac:dyDescent="0.3">
      <c r="A1" t="s">
        <v>0</v>
      </c>
      <c r="B1" t="s">
        <v>25</v>
      </c>
      <c r="C1" t="s">
        <v>26</v>
      </c>
      <c r="D1" t="s">
        <v>27</v>
      </c>
      <c r="E1" t="s">
        <v>28</v>
      </c>
      <c r="F1" t="s">
        <v>29</v>
      </c>
      <c r="G1" t="s">
        <v>30</v>
      </c>
      <c r="H1" t="s">
        <v>5</v>
      </c>
      <c r="I1" t="s">
        <v>31</v>
      </c>
    </row>
    <row r="2" spans="1:9" x14ac:dyDescent="0.3">
      <c r="A2" s="1">
        <v>45536</v>
      </c>
      <c r="B2" t="s">
        <v>32</v>
      </c>
      <c r="C2" t="s">
        <v>32</v>
      </c>
      <c r="D2">
        <v>7221.22</v>
      </c>
      <c r="E2">
        <v>1030871</v>
      </c>
      <c r="F2">
        <v>48.01</v>
      </c>
      <c r="G2">
        <v>49.95</v>
      </c>
      <c r="H2">
        <v>1428</v>
      </c>
      <c r="I2">
        <v>1</v>
      </c>
    </row>
    <row r="3" spans="1:9" x14ac:dyDescent="0.3">
      <c r="A3" s="1">
        <v>45536</v>
      </c>
      <c r="B3" t="s">
        <v>33</v>
      </c>
      <c r="C3" t="s">
        <v>33</v>
      </c>
      <c r="D3">
        <v>5625.22</v>
      </c>
      <c r="E3">
        <v>746690.05</v>
      </c>
      <c r="F3">
        <v>37.4</v>
      </c>
      <c r="G3">
        <v>36.18</v>
      </c>
      <c r="H3">
        <v>1327</v>
      </c>
      <c r="I3">
        <v>2</v>
      </c>
    </row>
    <row r="4" spans="1:9" x14ac:dyDescent="0.3">
      <c r="A4" s="1">
        <v>45536</v>
      </c>
      <c r="B4" t="s">
        <v>34</v>
      </c>
      <c r="C4" t="s">
        <v>34</v>
      </c>
      <c r="D4">
        <v>1064.6199999999999</v>
      </c>
      <c r="E4">
        <v>113351.54</v>
      </c>
      <c r="F4">
        <v>7.08</v>
      </c>
      <c r="G4">
        <v>5.49</v>
      </c>
      <c r="H4">
        <v>1065</v>
      </c>
      <c r="I4">
        <v>3</v>
      </c>
    </row>
    <row r="5" spans="1:9" x14ac:dyDescent="0.3">
      <c r="A5" s="1">
        <v>45536</v>
      </c>
      <c r="B5" t="s">
        <v>35</v>
      </c>
      <c r="C5" t="s">
        <v>36</v>
      </c>
      <c r="D5">
        <v>140</v>
      </c>
      <c r="E5">
        <v>47982.71</v>
      </c>
      <c r="F5">
        <v>0.93</v>
      </c>
      <c r="G5">
        <v>2.3199999999999998</v>
      </c>
      <c r="H5">
        <v>3427</v>
      </c>
      <c r="I5">
        <v>4</v>
      </c>
    </row>
    <row r="6" spans="1:9" x14ac:dyDescent="0.3">
      <c r="A6" s="1">
        <v>45536</v>
      </c>
      <c r="B6" t="s">
        <v>37</v>
      </c>
      <c r="C6" t="s">
        <v>36</v>
      </c>
      <c r="D6">
        <v>120.41</v>
      </c>
      <c r="E6">
        <v>6549.1</v>
      </c>
      <c r="F6">
        <v>0.8</v>
      </c>
      <c r="G6">
        <v>0.32</v>
      </c>
      <c r="H6">
        <v>544</v>
      </c>
      <c r="I6">
        <v>5</v>
      </c>
    </row>
    <row r="7" spans="1:9" x14ac:dyDescent="0.3">
      <c r="A7" s="1">
        <v>45536</v>
      </c>
      <c r="B7" t="s">
        <v>38</v>
      </c>
      <c r="C7" t="s">
        <v>36</v>
      </c>
      <c r="D7">
        <v>120.38</v>
      </c>
      <c r="E7">
        <v>5986.48</v>
      </c>
      <c r="F7">
        <v>0.8</v>
      </c>
      <c r="G7">
        <v>0.28999999999999998</v>
      </c>
      <c r="H7">
        <v>497</v>
      </c>
      <c r="I7">
        <v>6</v>
      </c>
    </row>
    <row r="8" spans="1:9" x14ac:dyDescent="0.3">
      <c r="A8" s="1">
        <v>45536</v>
      </c>
      <c r="B8" t="s">
        <v>39</v>
      </c>
      <c r="C8" t="s">
        <v>36</v>
      </c>
      <c r="D8">
        <v>70.98</v>
      </c>
      <c r="E8">
        <v>7845.04</v>
      </c>
      <c r="F8">
        <v>0.47</v>
      </c>
      <c r="G8">
        <v>0.38</v>
      </c>
      <c r="H8">
        <v>1105</v>
      </c>
      <c r="I8">
        <v>7</v>
      </c>
    </row>
    <row r="9" spans="1:9" x14ac:dyDescent="0.3">
      <c r="A9" s="1">
        <v>45536</v>
      </c>
      <c r="B9" t="s">
        <v>40</v>
      </c>
      <c r="C9" t="s">
        <v>36</v>
      </c>
      <c r="D9">
        <v>61.05</v>
      </c>
      <c r="E9">
        <v>714.29</v>
      </c>
      <c r="F9">
        <v>0.41</v>
      </c>
      <c r="G9">
        <v>0.03</v>
      </c>
      <c r="H9">
        <v>117</v>
      </c>
      <c r="I9">
        <v>8</v>
      </c>
    </row>
    <row r="10" spans="1:9" x14ac:dyDescent="0.3">
      <c r="A10" s="1">
        <v>45536</v>
      </c>
      <c r="B10" t="s">
        <v>41</v>
      </c>
      <c r="C10" t="s">
        <v>36</v>
      </c>
      <c r="D10">
        <v>53.59</v>
      </c>
      <c r="E10">
        <v>21076.12</v>
      </c>
      <c r="F10">
        <v>0.36</v>
      </c>
      <c r="G10">
        <v>1.02</v>
      </c>
      <c r="H10">
        <v>3933</v>
      </c>
      <c r="I10">
        <v>9</v>
      </c>
    </row>
    <row r="11" spans="1:9" x14ac:dyDescent="0.3">
      <c r="A11" s="1">
        <v>45536</v>
      </c>
      <c r="B11" t="s">
        <v>42</v>
      </c>
      <c r="C11" t="s">
        <v>36</v>
      </c>
      <c r="D11">
        <v>48.75</v>
      </c>
      <c r="E11">
        <v>3586.71</v>
      </c>
      <c r="F11">
        <v>0.32</v>
      </c>
      <c r="G11">
        <v>0.17</v>
      </c>
      <c r="H11">
        <v>736</v>
      </c>
      <c r="I11">
        <v>10</v>
      </c>
    </row>
    <row r="12" spans="1:9" x14ac:dyDescent="0.3">
      <c r="A12" s="1">
        <v>45536</v>
      </c>
      <c r="B12" t="s">
        <v>43</v>
      </c>
      <c r="C12" t="s">
        <v>36</v>
      </c>
      <c r="D12">
        <v>47.14</v>
      </c>
      <c r="E12">
        <v>6413.16</v>
      </c>
      <c r="F12">
        <v>0.31</v>
      </c>
      <c r="G12">
        <v>0.31</v>
      </c>
      <c r="H12">
        <v>1360</v>
      </c>
      <c r="I12">
        <v>11</v>
      </c>
    </row>
    <row r="13" spans="1:9" x14ac:dyDescent="0.3">
      <c r="A13" s="1">
        <v>45536</v>
      </c>
      <c r="B13" t="s">
        <v>44</v>
      </c>
      <c r="C13" t="s">
        <v>36</v>
      </c>
      <c r="D13">
        <v>36.14</v>
      </c>
      <c r="E13">
        <v>8997.11</v>
      </c>
      <c r="F13">
        <v>0.24</v>
      </c>
      <c r="G13">
        <v>0.44</v>
      </c>
      <c r="H13">
        <v>2490</v>
      </c>
      <c r="I13">
        <v>12</v>
      </c>
    </row>
    <row r="14" spans="1:9" x14ac:dyDescent="0.3">
      <c r="A14" s="1">
        <v>45536</v>
      </c>
      <c r="B14" t="s">
        <v>45</v>
      </c>
      <c r="C14" t="s">
        <v>36</v>
      </c>
      <c r="D14">
        <v>31.27</v>
      </c>
      <c r="E14">
        <v>9777.48</v>
      </c>
      <c r="F14">
        <v>0.21</v>
      </c>
      <c r="G14">
        <v>0.47</v>
      </c>
      <c r="H14">
        <v>3127</v>
      </c>
      <c r="I14">
        <v>13</v>
      </c>
    </row>
    <row r="15" spans="1:9" x14ac:dyDescent="0.3">
      <c r="A15" s="1">
        <v>45536</v>
      </c>
      <c r="B15" t="s">
        <v>46</v>
      </c>
      <c r="C15" t="s">
        <v>36</v>
      </c>
      <c r="D15">
        <v>26.39</v>
      </c>
      <c r="E15">
        <v>8466.2999999999993</v>
      </c>
      <c r="F15">
        <v>0.18</v>
      </c>
      <c r="G15">
        <v>0.41</v>
      </c>
      <c r="H15">
        <v>3208</v>
      </c>
      <c r="I15">
        <v>14</v>
      </c>
    </row>
    <row r="16" spans="1:9" x14ac:dyDescent="0.3">
      <c r="A16" s="1">
        <v>45536</v>
      </c>
      <c r="B16" t="s">
        <v>47</v>
      </c>
      <c r="C16" t="s">
        <v>36</v>
      </c>
      <c r="D16">
        <v>25.75</v>
      </c>
      <c r="E16">
        <v>1131.5899999999999</v>
      </c>
      <c r="F16">
        <v>0.17</v>
      </c>
      <c r="G16">
        <v>0.05</v>
      </c>
      <c r="H16">
        <v>439</v>
      </c>
      <c r="I16">
        <v>15</v>
      </c>
    </row>
    <row r="17" spans="1:9" x14ac:dyDescent="0.3">
      <c r="A17" s="1">
        <v>45536</v>
      </c>
      <c r="B17" t="s">
        <v>48</v>
      </c>
      <c r="C17" t="s">
        <v>36</v>
      </c>
      <c r="D17">
        <v>17.41</v>
      </c>
      <c r="E17">
        <v>1278.3800000000001</v>
      </c>
      <c r="F17">
        <v>0.12</v>
      </c>
      <c r="G17">
        <v>0.06</v>
      </c>
      <c r="H17">
        <v>734</v>
      </c>
      <c r="I17">
        <v>16</v>
      </c>
    </row>
    <row r="18" spans="1:9" x14ac:dyDescent="0.3">
      <c r="A18" s="1">
        <v>45536</v>
      </c>
      <c r="B18" t="s">
        <v>49</v>
      </c>
      <c r="C18" t="s">
        <v>36</v>
      </c>
      <c r="D18">
        <v>16.07</v>
      </c>
      <c r="E18">
        <v>2964.08</v>
      </c>
      <c r="F18">
        <v>0.11</v>
      </c>
      <c r="G18">
        <v>0.14000000000000001</v>
      </c>
      <c r="H18">
        <v>1844</v>
      </c>
      <c r="I18">
        <v>17</v>
      </c>
    </row>
    <row r="19" spans="1:9" x14ac:dyDescent="0.3">
      <c r="A19" s="1">
        <v>45536</v>
      </c>
      <c r="B19" t="s">
        <v>50</v>
      </c>
      <c r="C19" t="s">
        <v>36</v>
      </c>
      <c r="D19">
        <v>13.46</v>
      </c>
      <c r="E19">
        <v>9526.49</v>
      </c>
      <c r="F19">
        <v>0.09</v>
      </c>
      <c r="G19">
        <v>0.46</v>
      </c>
      <c r="H19">
        <v>7078</v>
      </c>
      <c r="I19">
        <v>18</v>
      </c>
    </row>
    <row r="20" spans="1:9" x14ac:dyDescent="0.3">
      <c r="A20" s="1">
        <v>45536</v>
      </c>
      <c r="B20" t="s">
        <v>51</v>
      </c>
      <c r="C20" t="s">
        <v>36</v>
      </c>
      <c r="D20">
        <v>12.85</v>
      </c>
      <c r="E20">
        <v>734.8</v>
      </c>
      <c r="F20">
        <v>0.09</v>
      </c>
      <c r="G20">
        <v>0.04</v>
      </c>
      <c r="H20">
        <v>572</v>
      </c>
      <c r="I20">
        <v>19</v>
      </c>
    </row>
    <row r="21" spans="1:9" x14ac:dyDescent="0.3">
      <c r="A21" s="1">
        <v>45536</v>
      </c>
      <c r="B21" t="s">
        <v>52</v>
      </c>
      <c r="C21" t="s">
        <v>36</v>
      </c>
      <c r="D21">
        <v>11.15</v>
      </c>
      <c r="E21">
        <v>2711.55</v>
      </c>
      <c r="F21">
        <v>7.0000000000000007E-2</v>
      </c>
      <c r="G21">
        <v>0.13</v>
      </c>
      <c r="H21">
        <v>2432</v>
      </c>
      <c r="I21">
        <v>20</v>
      </c>
    </row>
    <row r="22" spans="1:9" x14ac:dyDescent="0.3">
      <c r="A22" s="1">
        <v>45536</v>
      </c>
      <c r="B22" t="s">
        <v>53</v>
      </c>
      <c r="C22" t="s">
        <v>36</v>
      </c>
      <c r="D22">
        <v>10.62</v>
      </c>
      <c r="E22">
        <v>792.06</v>
      </c>
      <c r="F22">
        <v>7.0000000000000007E-2</v>
      </c>
      <c r="G22">
        <v>0.04</v>
      </c>
      <c r="H22">
        <v>746</v>
      </c>
      <c r="I22">
        <v>21</v>
      </c>
    </row>
    <row r="23" spans="1:9" x14ac:dyDescent="0.3">
      <c r="A23" s="1">
        <v>45536</v>
      </c>
      <c r="B23" t="s">
        <v>54</v>
      </c>
      <c r="C23" t="s">
        <v>36</v>
      </c>
      <c r="D23">
        <v>9.8000000000000007</v>
      </c>
      <c r="E23">
        <v>2883.42</v>
      </c>
      <c r="F23">
        <v>7.0000000000000007E-2</v>
      </c>
      <c r="G23">
        <v>0.14000000000000001</v>
      </c>
      <c r="H23">
        <v>2942</v>
      </c>
      <c r="I23">
        <v>22</v>
      </c>
    </row>
    <row r="24" spans="1:9" x14ac:dyDescent="0.3">
      <c r="A24" s="1">
        <v>45536</v>
      </c>
      <c r="B24" t="s">
        <v>55</v>
      </c>
      <c r="C24" t="s">
        <v>36</v>
      </c>
      <c r="D24">
        <v>8.33</v>
      </c>
      <c r="E24">
        <v>1838.99</v>
      </c>
      <c r="F24">
        <v>0.06</v>
      </c>
      <c r="G24">
        <v>0.09</v>
      </c>
      <c r="H24">
        <v>2208</v>
      </c>
      <c r="I24">
        <v>23</v>
      </c>
    </row>
    <row r="25" spans="1:9" x14ac:dyDescent="0.3">
      <c r="A25" s="1">
        <v>45536</v>
      </c>
      <c r="B25" t="s">
        <v>56</v>
      </c>
      <c r="C25" t="s">
        <v>36</v>
      </c>
      <c r="D25">
        <v>7.33</v>
      </c>
      <c r="E25">
        <v>564.5</v>
      </c>
      <c r="F25">
        <v>0.05</v>
      </c>
      <c r="G25">
        <v>0.03</v>
      </c>
      <c r="H25">
        <v>770</v>
      </c>
      <c r="I25">
        <v>24</v>
      </c>
    </row>
    <row r="26" spans="1:9" x14ac:dyDescent="0.3">
      <c r="A26" s="1">
        <v>45536</v>
      </c>
      <c r="B26" t="s">
        <v>57</v>
      </c>
      <c r="C26" t="s">
        <v>36</v>
      </c>
      <c r="D26">
        <v>6.96</v>
      </c>
      <c r="E26">
        <v>908.78</v>
      </c>
      <c r="F26">
        <v>0.05</v>
      </c>
      <c r="G26">
        <v>0.04</v>
      </c>
      <c r="H26">
        <v>1306</v>
      </c>
      <c r="I26">
        <v>25</v>
      </c>
    </row>
    <row r="27" spans="1:9" x14ac:dyDescent="0.3">
      <c r="A27" s="1">
        <v>45536</v>
      </c>
      <c r="B27" t="s">
        <v>58</v>
      </c>
      <c r="C27" t="s">
        <v>36</v>
      </c>
      <c r="D27">
        <v>6.3</v>
      </c>
      <c r="E27">
        <v>918.67</v>
      </c>
      <c r="F27">
        <v>0.04</v>
      </c>
      <c r="G27">
        <v>0.04</v>
      </c>
      <c r="H27">
        <v>1458</v>
      </c>
      <c r="I27">
        <v>26</v>
      </c>
    </row>
    <row r="28" spans="1:9" x14ac:dyDescent="0.3">
      <c r="A28" s="1">
        <v>45536</v>
      </c>
      <c r="B28" t="s">
        <v>59</v>
      </c>
      <c r="C28" t="s">
        <v>36</v>
      </c>
      <c r="D28">
        <v>6.13</v>
      </c>
      <c r="E28">
        <v>810.01</v>
      </c>
      <c r="F28">
        <v>0.04</v>
      </c>
      <c r="G28">
        <v>0.04</v>
      </c>
      <c r="H28">
        <v>1321</v>
      </c>
      <c r="I28">
        <v>27</v>
      </c>
    </row>
    <row r="29" spans="1:9" x14ac:dyDescent="0.3">
      <c r="A29" s="1">
        <v>45536</v>
      </c>
      <c r="B29" t="s">
        <v>60</v>
      </c>
      <c r="C29" t="s">
        <v>36</v>
      </c>
      <c r="D29">
        <v>3.05</v>
      </c>
      <c r="E29">
        <v>348.9</v>
      </c>
      <c r="F29">
        <v>0.02</v>
      </c>
      <c r="G29">
        <v>0.02</v>
      </c>
      <c r="H29">
        <v>1144</v>
      </c>
      <c r="I29">
        <v>28</v>
      </c>
    </row>
    <row r="30" spans="1:9" x14ac:dyDescent="0.3">
      <c r="A30" s="1">
        <v>45536</v>
      </c>
      <c r="B30" t="s">
        <v>61</v>
      </c>
      <c r="C30" t="s">
        <v>36</v>
      </c>
      <c r="D30">
        <v>3.04</v>
      </c>
      <c r="E30">
        <v>799.52</v>
      </c>
      <c r="F30">
        <v>0.02</v>
      </c>
      <c r="G30">
        <v>0.04</v>
      </c>
      <c r="H30">
        <v>2630</v>
      </c>
      <c r="I30">
        <v>29</v>
      </c>
    </row>
    <row r="31" spans="1:9" x14ac:dyDescent="0.3">
      <c r="A31" s="1">
        <v>45536</v>
      </c>
      <c r="B31" t="s">
        <v>62</v>
      </c>
      <c r="C31" t="s">
        <v>36</v>
      </c>
      <c r="D31">
        <v>2.79</v>
      </c>
      <c r="E31">
        <v>212.23</v>
      </c>
      <c r="F31">
        <v>0.02</v>
      </c>
      <c r="G31">
        <v>0.01</v>
      </c>
      <c r="H31">
        <v>761</v>
      </c>
      <c r="I31">
        <v>30</v>
      </c>
    </row>
    <row r="32" spans="1:9" x14ac:dyDescent="0.3">
      <c r="A32" s="1">
        <v>45536</v>
      </c>
      <c r="B32" t="s">
        <v>63</v>
      </c>
      <c r="C32" t="s">
        <v>36</v>
      </c>
      <c r="D32">
        <v>2.74</v>
      </c>
      <c r="E32">
        <v>606.83000000000004</v>
      </c>
      <c r="F32">
        <v>0.02</v>
      </c>
      <c r="G32">
        <v>0.03</v>
      </c>
      <c r="H32">
        <v>2215</v>
      </c>
      <c r="I32">
        <v>31</v>
      </c>
    </row>
    <row r="33" spans="1:9" x14ac:dyDescent="0.3">
      <c r="A33" s="1">
        <v>45536</v>
      </c>
      <c r="B33" t="s">
        <v>64</v>
      </c>
      <c r="C33" t="s">
        <v>36</v>
      </c>
      <c r="D33">
        <v>2.69</v>
      </c>
      <c r="E33">
        <v>424.89</v>
      </c>
      <c r="F33">
        <v>0.02</v>
      </c>
      <c r="G33">
        <v>0.02</v>
      </c>
      <c r="H33">
        <v>1580</v>
      </c>
      <c r="I33">
        <v>32</v>
      </c>
    </row>
    <row r="34" spans="1:9" x14ac:dyDescent="0.3">
      <c r="A34" s="1">
        <v>45536</v>
      </c>
      <c r="B34" t="s">
        <v>65</v>
      </c>
      <c r="C34" t="s">
        <v>36</v>
      </c>
      <c r="D34">
        <v>1.81</v>
      </c>
      <c r="E34">
        <v>131.19999999999999</v>
      </c>
      <c r="F34">
        <v>0.01</v>
      </c>
      <c r="G34">
        <v>0.01</v>
      </c>
      <c r="H34">
        <v>725</v>
      </c>
      <c r="I34">
        <v>33</v>
      </c>
    </row>
    <row r="35" spans="1:9" x14ac:dyDescent="0.3">
      <c r="A35" s="1">
        <v>45536</v>
      </c>
      <c r="B35" t="s">
        <v>66</v>
      </c>
      <c r="C35" t="s">
        <v>36</v>
      </c>
      <c r="D35">
        <v>1.74</v>
      </c>
      <c r="E35">
        <v>15.26</v>
      </c>
      <c r="F35">
        <v>0.01</v>
      </c>
      <c r="G35">
        <v>0</v>
      </c>
      <c r="H35">
        <v>88</v>
      </c>
      <c r="I35">
        <v>34</v>
      </c>
    </row>
    <row r="36" spans="1:9" x14ac:dyDescent="0.3">
      <c r="A36" s="1">
        <v>45536</v>
      </c>
      <c r="B36" t="s">
        <v>67</v>
      </c>
      <c r="C36" t="s">
        <v>36</v>
      </c>
      <c r="D36">
        <v>1.66</v>
      </c>
      <c r="E36">
        <v>603.44000000000005</v>
      </c>
      <c r="F36">
        <v>0.01</v>
      </c>
      <c r="G36">
        <v>0.03</v>
      </c>
      <c r="H36">
        <v>3635</v>
      </c>
      <c r="I36">
        <v>35</v>
      </c>
    </row>
    <row r="37" spans="1:9" x14ac:dyDescent="0.3">
      <c r="A37" s="1">
        <v>45536</v>
      </c>
      <c r="B37" t="s">
        <v>68</v>
      </c>
      <c r="C37" t="s">
        <v>36</v>
      </c>
      <c r="D37">
        <v>1.31</v>
      </c>
      <c r="E37">
        <v>74.959999999999994</v>
      </c>
      <c r="F37">
        <v>0.01</v>
      </c>
      <c r="G37">
        <v>0</v>
      </c>
      <c r="H37">
        <v>572</v>
      </c>
      <c r="I37">
        <v>36</v>
      </c>
    </row>
    <row r="38" spans="1:9" x14ac:dyDescent="0.3">
      <c r="A38" s="1">
        <v>45536</v>
      </c>
      <c r="B38" t="s">
        <v>69</v>
      </c>
      <c r="C38" t="s">
        <v>36</v>
      </c>
      <c r="D38">
        <v>1.1200000000000001</v>
      </c>
      <c r="E38">
        <v>452.89</v>
      </c>
      <c r="F38">
        <v>0.01</v>
      </c>
      <c r="G38">
        <v>0.02</v>
      </c>
      <c r="H38">
        <v>4044</v>
      </c>
      <c r="I38">
        <v>37</v>
      </c>
    </row>
    <row r="39" spans="1:9" x14ac:dyDescent="0.3">
      <c r="A39" s="1">
        <v>45536</v>
      </c>
      <c r="B39" t="s">
        <v>70</v>
      </c>
      <c r="C39" t="s">
        <v>36</v>
      </c>
      <c r="D39">
        <v>0.97</v>
      </c>
      <c r="E39">
        <v>189.93</v>
      </c>
      <c r="F39">
        <v>0.01</v>
      </c>
      <c r="G39">
        <v>0.01</v>
      </c>
      <c r="H39">
        <v>1958</v>
      </c>
      <c r="I39">
        <v>38</v>
      </c>
    </row>
    <row r="40" spans="1:9" x14ac:dyDescent="0.3">
      <c r="A40" s="1">
        <v>45536</v>
      </c>
      <c r="B40" t="s">
        <v>71</v>
      </c>
      <c r="C40" t="s">
        <v>36</v>
      </c>
      <c r="D40">
        <v>0.77</v>
      </c>
      <c r="E40">
        <v>118.94</v>
      </c>
      <c r="F40">
        <v>0.01</v>
      </c>
      <c r="G40">
        <v>0.01</v>
      </c>
      <c r="H40">
        <v>1545</v>
      </c>
      <c r="I40">
        <v>39</v>
      </c>
    </row>
    <row r="41" spans="1:9" x14ac:dyDescent="0.3">
      <c r="A41" s="1">
        <v>45536</v>
      </c>
      <c r="B41" t="s">
        <v>72</v>
      </c>
      <c r="C41" t="s">
        <v>36</v>
      </c>
      <c r="D41">
        <v>0.72</v>
      </c>
      <c r="E41">
        <v>32.26</v>
      </c>
      <c r="F41">
        <v>0</v>
      </c>
      <c r="G41">
        <v>0</v>
      </c>
      <c r="H41">
        <v>448</v>
      </c>
      <c r="I41">
        <v>40</v>
      </c>
    </row>
    <row r="42" spans="1:9" x14ac:dyDescent="0.3">
      <c r="A42" s="1">
        <v>45536</v>
      </c>
      <c r="B42" t="s">
        <v>73</v>
      </c>
      <c r="C42" t="s">
        <v>36</v>
      </c>
      <c r="D42">
        <v>0.62</v>
      </c>
      <c r="E42">
        <v>212.37</v>
      </c>
      <c r="F42">
        <v>0</v>
      </c>
      <c r="G42">
        <v>0.01</v>
      </c>
      <c r="H42">
        <v>3425</v>
      </c>
      <c r="I42">
        <v>41</v>
      </c>
    </row>
    <row r="43" spans="1:9" x14ac:dyDescent="0.3">
      <c r="A43" s="1">
        <v>45536</v>
      </c>
      <c r="B43" t="s">
        <v>74</v>
      </c>
      <c r="C43" t="s">
        <v>36</v>
      </c>
      <c r="D43">
        <v>0.6</v>
      </c>
      <c r="E43">
        <v>169.06</v>
      </c>
      <c r="F43">
        <v>0</v>
      </c>
      <c r="G43">
        <v>0.01</v>
      </c>
      <c r="H43">
        <v>2818</v>
      </c>
      <c r="I43">
        <v>42</v>
      </c>
    </row>
    <row r="44" spans="1:9" x14ac:dyDescent="0.3">
      <c r="A44" s="1">
        <v>45536</v>
      </c>
      <c r="B44" t="s">
        <v>75</v>
      </c>
      <c r="C44" t="s">
        <v>36</v>
      </c>
      <c r="D44">
        <v>0.52</v>
      </c>
      <c r="E44">
        <v>200.42</v>
      </c>
      <c r="F44">
        <v>0</v>
      </c>
      <c r="G44">
        <v>0.01</v>
      </c>
      <c r="H44">
        <v>3854</v>
      </c>
      <c r="I44">
        <v>43</v>
      </c>
    </row>
    <row r="45" spans="1:9" x14ac:dyDescent="0.3">
      <c r="A45" s="1">
        <v>45536</v>
      </c>
      <c r="B45" t="s">
        <v>76</v>
      </c>
      <c r="C45" t="s">
        <v>36</v>
      </c>
      <c r="D45">
        <v>0.51</v>
      </c>
      <c r="E45">
        <v>153.54</v>
      </c>
      <c r="F45">
        <v>0</v>
      </c>
      <c r="G45">
        <v>0.01</v>
      </c>
      <c r="H45">
        <v>3011</v>
      </c>
      <c r="I45">
        <v>44</v>
      </c>
    </row>
    <row r="46" spans="1:9" x14ac:dyDescent="0.3">
      <c r="A46" s="1">
        <v>45536</v>
      </c>
      <c r="B46" t="s">
        <v>77</v>
      </c>
      <c r="C46" t="s">
        <v>36</v>
      </c>
      <c r="D46">
        <v>0.49</v>
      </c>
      <c r="E46">
        <v>57.89</v>
      </c>
      <c r="F46">
        <v>0</v>
      </c>
      <c r="G46">
        <v>0</v>
      </c>
      <c r="H46">
        <v>1181</v>
      </c>
      <c r="I46">
        <v>45</v>
      </c>
    </row>
    <row r="47" spans="1:9" x14ac:dyDescent="0.3">
      <c r="A47" s="1">
        <v>45536</v>
      </c>
      <c r="B47" t="s">
        <v>78</v>
      </c>
      <c r="C47" t="s">
        <v>36</v>
      </c>
      <c r="D47">
        <v>0.46</v>
      </c>
      <c r="E47">
        <v>136.87</v>
      </c>
      <c r="F47">
        <v>0</v>
      </c>
      <c r="G47">
        <v>0.01</v>
      </c>
      <c r="H47">
        <v>2975</v>
      </c>
      <c r="I47">
        <v>46</v>
      </c>
    </row>
    <row r="48" spans="1:9" x14ac:dyDescent="0.3">
      <c r="A48" s="1">
        <v>45536</v>
      </c>
      <c r="B48" t="s">
        <v>79</v>
      </c>
      <c r="C48" t="s">
        <v>36</v>
      </c>
      <c r="D48">
        <v>0.38</v>
      </c>
      <c r="E48">
        <v>122.41</v>
      </c>
      <c r="F48">
        <v>0</v>
      </c>
      <c r="G48">
        <v>0.01</v>
      </c>
      <c r="H48">
        <v>3221</v>
      </c>
      <c r="I48">
        <v>47</v>
      </c>
    </row>
    <row r="49" spans="1:9" x14ac:dyDescent="0.3">
      <c r="A49" s="1">
        <v>45536</v>
      </c>
      <c r="B49" t="s">
        <v>80</v>
      </c>
      <c r="C49" t="s">
        <v>36</v>
      </c>
      <c r="D49">
        <v>0.36</v>
      </c>
      <c r="E49">
        <v>90.58</v>
      </c>
      <c r="F49">
        <v>0</v>
      </c>
      <c r="G49">
        <v>0</v>
      </c>
      <c r="H49">
        <v>2516</v>
      </c>
      <c r="I49">
        <v>48</v>
      </c>
    </row>
    <row r="50" spans="1:9" x14ac:dyDescent="0.3">
      <c r="A50" s="1">
        <v>45536</v>
      </c>
      <c r="B50" t="s">
        <v>81</v>
      </c>
      <c r="C50" t="s">
        <v>36</v>
      </c>
      <c r="D50">
        <v>0.35</v>
      </c>
      <c r="E50">
        <v>42.33</v>
      </c>
      <c r="F50">
        <v>0</v>
      </c>
      <c r="G50">
        <v>0</v>
      </c>
      <c r="H50">
        <v>1209</v>
      </c>
      <c r="I50">
        <v>49</v>
      </c>
    </row>
    <row r="51" spans="1:9" x14ac:dyDescent="0.3">
      <c r="A51" s="1">
        <v>45536</v>
      </c>
      <c r="B51" t="s">
        <v>82</v>
      </c>
      <c r="C51" t="s">
        <v>36</v>
      </c>
      <c r="D51">
        <v>0.28999999999999998</v>
      </c>
      <c r="E51">
        <v>44.31</v>
      </c>
      <c r="F51">
        <v>0</v>
      </c>
      <c r="G51">
        <v>0</v>
      </c>
      <c r="H51">
        <v>1528</v>
      </c>
      <c r="I51">
        <v>50</v>
      </c>
    </row>
    <row r="52" spans="1:9" x14ac:dyDescent="0.3">
      <c r="A52" s="1">
        <v>45536</v>
      </c>
      <c r="B52" t="s">
        <v>83</v>
      </c>
      <c r="C52" t="s">
        <v>36</v>
      </c>
      <c r="D52">
        <v>0.28999999999999998</v>
      </c>
      <c r="E52">
        <v>0.03</v>
      </c>
      <c r="F52">
        <v>0</v>
      </c>
      <c r="G52">
        <v>0</v>
      </c>
      <c r="H52">
        <v>1</v>
      </c>
      <c r="I52">
        <v>50</v>
      </c>
    </row>
    <row r="53" spans="1:9" x14ac:dyDescent="0.3">
      <c r="A53" s="1">
        <v>45536</v>
      </c>
      <c r="B53" t="s">
        <v>84</v>
      </c>
      <c r="C53" t="s">
        <v>36</v>
      </c>
      <c r="D53">
        <v>0.26</v>
      </c>
      <c r="E53">
        <v>59.89</v>
      </c>
      <c r="F53">
        <v>0</v>
      </c>
      <c r="G53">
        <v>0</v>
      </c>
      <c r="H53">
        <v>2303</v>
      </c>
      <c r="I53">
        <v>52</v>
      </c>
    </row>
    <row r="54" spans="1:9" x14ac:dyDescent="0.3">
      <c r="A54" s="1">
        <v>45536</v>
      </c>
      <c r="B54" t="s">
        <v>85</v>
      </c>
      <c r="C54" t="s">
        <v>36</v>
      </c>
      <c r="D54">
        <v>0.21</v>
      </c>
      <c r="E54">
        <v>40.5</v>
      </c>
      <c r="F54">
        <v>0</v>
      </c>
      <c r="G54">
        <v>0</v>
      </c>
      <c r="H54">
        <v>1929</v>
      </c>
      <c r="I54">
        <v>53</v>
      </c>
    </row>
    <row r="55" spans="1:9" x14ac:dyDescent="0.3">
      <c r="A55" s="1">
        <v>45536</v>
      </c>
      <c r="B55" t="s">
        <v>86</v>
      </c>
      <c r="C55" t="s">
        <v>36</v>
      </c>
      <c r="D55">
        <v>0.17</v>
      </c>
      <c r="E55">
        <v>48.02</v>
      </c>
      <c r="F55">
        <v>0</v>
      </c>
      <c r="G55">
        <v>0</v>
      </c>
      <c r="H55">
        <v>2825</v>
      </c>
      <c r="I55">
        <v>54</v>
      </c>
    </row>
    <row r="56" spans="1:9" x14ac:dyDescent="0.3">
      <c r="A56" s="1">
        <v>45536</v>
      </c>
      <c r="B56" t="s">
        <v>87</v>
      </c>
      <c r="C56" t="s">
        <v>36</v>
      </c>
      <c r="D56">
        <v>0.17</v>
      </c>
      <c r="E56">
        <v>108.86</v>
      </c>
      <c r="F56">
        <v>0</v>
      </c>
      <c r="G56">
        <v>0.01</v>
      </c>
      <c r="H56">
        <v>6404</v>
      </c>
      <c r="I56">
        <v>54</v>
      </c>
    </row>
    <row r="57" spans="1:9" x14ac:dyDescent="0.3">
      <c r="A57" s="1">
        <v>45536</v>
      </c>
      <c r="B57" t="s">
        <v>88</v>
      </c>
      <c r="C57" t="s">
        <v>36</v>
      </c>
      <c r="D57">
        <v>0.15</v>
      </c>
      <c r="E57">
        <v>31.93</v>
      </c>
      <c r="F57">
        <v>0</v>
      </c>
      <c r="G57">
        <v>0</v>
      </c>
      <c r="H57">
        <v>2129</v>
      </c>
      <c r="I57">
        <v>56</v>
      </c>
    </row>
    <row r="58" spans="1:9" x14ac:dyDescent="0.3">
      <c r="A58" s="1">
        <v>45536</v>
      </c>
      <c r="B58" t="s">
        <v>89</v>
      </c>
      <c r="C58" t="s">
        <v>36</v>
      </c>
      <c r="D58">
        <v>0.15</v>
      </c>
      <c r="E58">
        <v>35.33</v>
      </c>
      <c r="F58">
        <v>0</v>
      </c>
      <c r="G58">
        <v>0</v>
      </c>
      <c r="H58">
        <v>2355</v>
      </c>
      <c r="I58">
        <v>56</v>
      </c>
    </row>
    <row r="59" spans="1:9" x14ac:dyDescent="0.3">
      <c r="A59" s="1">
        <v>45536</v>
      </c>
      <c r="B59" t="s">
        <v>90</v>
      </c>
      <c r="C59" t="s">
        <v>36</v>
      </c>
      <c r="D59">
        <v>0.13</v>
      </c>
      <c r="E59">
        <v>15.76</v>
      </c>
      <c r="F59">
        <v>0</v>
      </c>
      <c r="G59">
        <v>0</v>
      </c>
      <c r="H59">
        <v>1212</v>
      </c>
      <c r="I59">
        <v>58</v>
      </c>
    </row>
    <row r="60" spans="1:9" x14ac:dyDescent="0.3">
      <c r="A60" s="1">
        <v>45536</v>
      </c>
      <c r="B60" t="s">
        <v>91</v>
      </c>
      <c r="C60" t="s">
        <v>36</v>
      </c>
      <c r="D60">
        <v>0.12</v>
      </c>
      <c r="E60">
        <v>8.7100000000000009</v>
      </c>
      <c r="F60">
        <v>0</v>
      </c>
      <c r="G60">
        <v>0</v>
      </c>
      <c r="H60">
        <v>726</v>
      </c>
      <c r="I60">
        <v>59</v>
      </c>
    </row>
    <row r="61" spans="1:9" x14ac:dyDescent="0.3">
      <c r="A61" s="1">
        <v>45536</v>
      </c>
      <c r="B61" t="s">
        <v>92</v>
      </c>
      <c r="C61" t="s">
        <v>36</v>
      </c>
      <c r="D61">
        <v>0.09</v>
      </c>
      <c r="E61">
        <v>49.74</v>
      </c>
      <c r="F61">
        <v>0</v>
      </c>
      <c r="G61">
        <v>0</v>
      </c>
      <c r="H61">
        <v>5527</v>
      </c>
      <c r="I61">
        <v>60</v>
      </c>
    </row>
    <row r="62" spans="1:9" x14ac:dyDescent="0.3">
      <c r="A62" s="1">
        <v>45536</v>
      </c>
      <c r="B62" t="s">
        <v>93</v>
      </c>
      <c r="C62" t="s">
        <v>36</v>
      </c>
      <c r="D62">
        <v>0.09</v>
      </c>
      <c r="E62">
        <v>34.69</v>
      </c>
      <c r="F62">
        <v>0</v>
      </c>
      <c r="G62">
        <v>0</v>
      </c>
      <c r="H62">
        <v>3854</v>
      </c>
      <c r="I62">
        <v>60</v>
      </c>
    </row>
    <row r="63" spans="1:9" x14ac:dyDescent="0.3">
      <c r="A63" s="1">
        <v>45536</v>
      </c>
      <c r="B63" t="s">
        <v>94</v>
      </c>
      <c r="C63" t="s">
        <v>36</v>
      </c>
      <c r="D63">
        <v>0.08</v>
      </c>
      <c r="E63">
        <v>10.6</v>
      </c>
      <c r="F63">
        <v>0</v>
      </c>
      <c r="G63">
        <v>0</v>
      </c>
      <c r="H63">
        <v>1325</v>
      </c>
      <c r="I63">
        <v>62</v>
      </c>
    </row>
    <row r="64" spans="1:9" x14ac:dyDescent="0.3">
      <c r="A64" s="1">
        <v>45536</v>
      </c>
      <c r="B64" t="s">
        <v>95</v>
      </c>
      <c r="C64" t="s">
        <v>36</v>
      </c>
      <c r="D64">
        <v>7.0000000000000007E-2</v>
      </c>
      <c r="E64">
        <v>27.34</v>
      </c>
      <c r="F64">
        <v>0</v>
      </c>
      <c r="G64">
        <v>0</v>
      </c>
      <c r="H64">
        <v>3906</v>
      </c>
      <c r="I64">
        <v>63</v>
      </c>
    </row>
    <row r="65" spans="1:9" x14ac:dyDescent="0.3">
      <c r="A65" s="1">
        <v>45536</v>
      </c>
      <c r="B65" t="s">
        <v>96</v>
      </c>
      <c r="C65" t="s">
        <v>36</v>
      </c>
      <c r="D65">
        <v>7.0000000000000007E-2</v>
      </c>
      <c r="E65">
        <v>22.04</v>
      </c>
      <c r="F65">
        <v>0</v>
      </c>
      <c r="G65">
        <v>0</v>
      </c>
      <c r="H65">
        <v>3149</v>
      </c>
      <c r="I65">
        <v>63</v>
      </c>
    </row>
    <row r="66" spans="1:9" x14ac:dyDescent="0.3">
      <c r="A66" s="1">
        <v>45536</v>
      </c>
      <c r="B66" t="s">
        <v>97</v>
      </c>
      <c r="C66" t="s">
        <v>36</v>
      </c>
      <c r="D66">
        <v>0.06</v>
      </c>
      <c r="E66">
        <v>9.5500000000000007</v>
      </c>
      <c r="F66">
        <v>0</v>
      </c>
      <c r="G66">
        <v>0</v>
      </c>
      <c r="H66">
        <v>1592</v>
      </c>
      <c r="I66">
        <v>65</v>
      </c>
    </row>
    <row r="67" spans="1:9" x14ac:dyDescent="0.3">
      <c r="A67" s="1">
        <v>45536</v>
      </c>
      <c r="B67" t="s">
        <v>98</v>
      </c>
      <c r="C67" t="s">
        <v>36</v>
      </c>
      <c r="D67">
        <v>0.06</v>
      </c>
      <c r="E67">
        <v>6.03</v>
      </c>
      <c r="F67">
        <v>0</v>
      </c>
      <c r="G67">
        <v>0</v>
      </c>
      <c r="H67">
        <v>1005</v>
      </c>
      <c r="I67">
        <v>65</v>
      </c>
    </row>
    <row r="68" spans="1:9" x14ac:dyDescent="0.3">
      <c r="A68" s="1">
        <v>45536</v>
      </c>
      <c r="B68" t="s">
        <v>99</v>
      </c>
      <c r="C68" t="s">
        <v>36</v>
      </c>
      <c r="D68">
        <v>0.05</v>
      </c>
      <c r="E68">
        <v>6.37</v>
      </c>
      <c r="F68">
        <v>0</v>
      </c>
      <c r="G68">
        <v>0</v>
      </c>
      <c r="H68">
        <v>1274</v>
      </c>
      <c r="I68">
        <v>67</v>
      </c>
    </row>
    <row r="69" spans="1:9" x14ac:dyDescent="0.3">
      <c r="A69" s="1">
        <v>45536</v>
      </c>
      <c r="B69" t="s">
        <v>100</v>
      </c>
      <c r="C69" t="s">
        <v>36</v>
      </c>
      <c r="D69">
        <v>0.05</v>
      </c>
      <c r="E69">
        <v>27.93</v>
      </c>
      <c r="F69">
        <v>0</v>
      </c>
      <c r="G69">
        <v>0</v>
      </c>
      <c r="H69">
        <v>5586</v>
      </c>
      <c r="I69">
        <v>67</v>
      </c>
    </row>
    <row r="70" spans="1:9" x14ac:dyDescent="0.3">
      <c r="A70" s="1">
        <v>45536</v>
      </c>
      <c r="B70" t="s">
        <v>101</v>
      </c>
      <c r="C70" t="s">
        <v>36</v>
      </c>
      <c r="D70">
        <v>0.05</v>
      </c>
      <c r="E70">
        <v>16.829999999999998</v>
      </c>
      <c r="F70">
        <v>0</v>
      </c>
      <c r="G70">
        <v>0</v>
      </c>
      <c r="H70">
        <v>3366</v>
      </c>
      <c r="I70">
        <v>67</v>
      </c>
    </row>
    <row r="71" spans="1:9" x14ac:dyDescent="0.3">
      <c r="A71" s="1">
        <v>45536</v>
      </c>
      <c r="B71" t="s">
        <v>102</v>
      </c>
      <c r="C71" t="s">
        <v>36</v>
      </c>
      <c r="D71">
        <v>0.04</v>
      </c>
      <c r="E71">
        <v>1.78</v>
      </c>
      <c r="F71">
        <v>0</v>
      </c>
      <c r="G71">
        <v>0</v>
      </c>
      <c r="H71">
        <v>445</v>
      </c>
      <c r="I71">
        <v>70</v>
      </c>
    </row>
    <row r="72" spans="1:9" x14ac:dyDescent="0.3">
      <c r="A72" s="1">
        <v>45536</v>
      </c>
      <c r="B72" t="s">
        <v>103</v>
      </c>
      <c r="C72" t="s">
        <v>36</v>
      </c>
      <c r="D72">
        <v>0.04</v>
      </c>
      <c r="E72">
        <v>1.91</v>
      </c>
      <c r="F72">
        <v>0</v>
      </c>
      <c r="G72">
        <v>0</v>
      </c>
      <c r="H72">
        <v>478</v>
      </c>
      <c r="I72">
        <v>70</v>
      </c>
    </row>
    <row r="73" spans="1:9" x14ac:dyDescent="0.3">
      <c r="A73" s="1">
        <v>45536</v>
      </c>
      <c r="B73" t="s">
        <v>104</v>
      </c>
      <c r="C73" t="s">
        <v>36</v>
      </c>
      <c r="D73">
        <v>0.03</v>
      </c>
      <c r="E73">
        <v>16.39</v>
      </c>
      <c r="F73">
        <v>0</v>
      </c>
      <c r="G73">
        <v>0</v>
      </c>
      <c r="H73">
        <v>5463</v>
      </c>
      <c r="I73">
        <v>72</v>
      </c>
    </row>
    <row r="74" spans="1:9" x14ac:dyDescent="0.3">
      <c r="A74" s="1">
        <v>45536</v>
      </c>
      <c r="B74" t="s">
        <v>105</v>
      </c>
      <c r="C74" t="s">
        <v>36</v>
      </c>
      <c r="D74">
        <v>0.03</v>
      </c>
      <c r="E74">
        <v>24.45</v>
      </c>
      <c r="F74">
        <v>0</v>
      </c>
      <c r="G74">
        <v>0</v>
      </c>
      <c r="H74">
        <v>8150</v>
      </c>
      <c r="I74">
        <v>72</v>
      </c>
    </row>
    <row r="75" spans="1:9" x14ac:dyDescent="0.3">
      <c r="A75" s="1">
        <v>45536</v>
      </c>
      <c r="B75" t="s">
        <v>106</v>
      </c>
      <c r="C75" t="s">
        <v>36</v>
      </c>
      <c r="D75">
        <v>0.03</v>
      </c>
      <c r="E75">
        <v>1.93</v>
      </c>
      <c r="F75">
        <v>0</v>
      </c>
      <c r="G75">
        <v>0</v>
      </c>
      <c r="H75">
        <v>643</v>
      </c>
      <c r="I75">
        <v>72</v>
      </c>
    </row>
    <row r="76" spans="1:9" x14ac:dyDescent="0.3">
      <c r="A76" s="1">
        <v>45536</v>
      </c>
      <c r="B76" t="s">
        <v>107</v>
      </c>
      <c r="C76" t="s">
        <v>36</v>
      </c>
      <c r="D76">
        <v>0.02</v>
      </c>
      <c r="E76">
        <v>5.54</v>
      </c>
      <c r="F76">
        <v>0</v>
      </c>
      <c r="G76">
        <v>0</v>
      </c>
      <c r="H76">
        <v>2770</v>
      </c>
      <c r="I76">
        <v>75</v>
      </c>
    </row>
    <row r="77" spans="1:9" x14ac:dyDescent="0.3">
      <c r="A77" s="1">
        <v>45566</v>
      </c>
      <c r="B77" t="s">
        <v>32</v>
      </c>
      <c r="C77" t="s">
        <v>32</v>
      </c>
      <c r="D77">
        <v>7905.54</v>
      </c>
      <c r="E77">
        <v>1169290.03</v>
      </c>
      <c r="F77">
        <v>47.67</v>
      </c>
      <c r="G77">
        <v>49.76</v>
      </c>
      <c r="H77">
        <v>1479</v>
      </c>
      <c r="I77">
        <v>1</v>
      </c>
    </row>
    <row r="78" spans="1:9" x14ac:dyDescent="0.3">
      <c r="A78" s="1">
        <v>45566</v>
      </c>
      <c r="B78" t="s">
        <v>33</v>
      </c>
      <c r="C78" t="s">
        <v>33</v>
      </c>
      <c r="D78">
        <v>6201.81</v>
      </c>
      <c r="E78">
        <v>849327.38</v>
      </c>
      <c r="F78">
        <v>37.39</v>
      </c>
      <c r="G78">
        <v>36.14</v>
      </c>
      <c r="H78">
        <v>1369</v>
      </c>
      <c r="I78">
        <v>2</v>
      </c>
    </row>
    <row r="79" spans="1:9" x14ac:dyDescent="0.3">
      <c r="A79" s="1">
        <v>45566</v>
      </c>
      <c r="B79" t="s">
        <v>34</v>
      </c>
      <c r="C79" t="s">
        <v>34</v>
      </c>
      <c r="D79">
        <v>1165.01</v>
      </c>
      <c r="E79">
        <v>129584.98</v>
      </c>
      <c r="F79">
        <v>7.02</v>
      </c>
      <c r="G79">
        <v>5.51</v>
      </c>
      <c r="H79">
        <v>1112</v>
      </c>
      <c r="I79">
        <v>3</v>
      </c>
    </row>
    <row r="80" spans="1:9" x14ac:dyDescent="0.3">
      <c r="A80" s="1">
        <v>45566</v>
      </c>
      <c r="B80" t="s">
        <v>37</v>
      </c>
      <c r="C80" t="s">
        <v>36</v>
      </c>
      <c r="D80">
        <v>157.51</v>
      </c>
      <c r="E80">
        <v>8841.9</v>
      </c>
      <c r="F80">
        <v>0.95</v>
      </c>
      <c r="G80">
        <v>0.38</v>
      </c>
      <c r="H80">
        <v>561</v>
      </c>
      <c r="I80">
        <v>4</v>
      </c>
    </row>
    <row r="81" spans="1:9" x14ac:dyDescent="0.3">
      <c r="A81" s="1">
        <v>45566</v>
      </c>
      <c r="B81" t="s">
        <v>35</v>
      </c>
      <c r="C81" t="s">
        <v>36</v>
      </c>
      <c r="D81">
        <v>152.28</v>
      </c>
      <c r="E81">
        <v>55202.12</v>
      </c>
      <c r="F81">
        <v>0.92</v>
      </c>
      <c r="G81">
        <v>2.35</v>
      </c>
      <c r="H81">
        <v>3625</v>
      </c>
      <c r="I81">
        <v>5</v>
      </c>
    </row>
    <row r="82" spans="1:9" x14ac:dyDescent="0.3">
      <c r="A82" s="1">
        <v>45566</v>
      </c>
      <c r="B82" t="s">
        <v>38</v>
      </c>
      <c r="C82" t="s">
        <v>36</v>
      </c>
      <c r="D82">
        <v>139.68</v>
      </c>
      <c r="E82">
        <v>6829.53</v>
      </c>
      <c r="F82">
        <v>0.84</v>
      </c>
      <c r="G82">
        <v>0.28999999999999998</v>
      </c>
      <c r="H82">
        <v>489</v>
      </c>
      <c r="I82">
        <v>6</v>
      </c>
    </row>
    <row r="83" spans="1:9" x14ac:dyDescent="0.3">
      <c r="A83" s="1">
        <v>45566</v>
      </c>
      <c r="B83" t="s">
        <v>39</v>
      </c>
      <c r="C83" t="s">
        <v>36</v>
      </c>
      <c r="D83">
        <v>79.55</v>
      </c>
      <c r="E83">
        <v>9205.7199999999993</v>
      </c>
      <c r="F83">
        <v>0.48</v>
      </c>
      <c r="G83">
        <v>0.39</v>
      </c>
      <c r="H83">
        <v>1157</v>
      </c>
      <c r="I83">
        <v>7</v>
      </c>
    </row>
    <row r="84" spans="1:9" x14ac:dyDescent="0.3">
      <c r="A84" s="1">
        <v>45566</v>
      </c>
      <c r="B84" t="s">
        <v>40</v>
      </c>
      <c r="C84" t="s">
        <v>36</v>
      </c>
      <c r="D84">
        <v>69.900000000000006</v>
      </c>
      <c r="E84">
        <v>825.19</v>
      </c>
      <c r="F84">
        <v>0.42</v>
      </c>
      <c r="G84">
        <v>0.04</v>
      </c>
      <c r="H84">
        <v>118</v>
      </c>
      <c r="I84">
        <v>8</v>
      </c>
    </row>
    <row r="85" spans="1:9" x14ac:dyDescent="0.3">
      <c r="A85" s="1">
        <v>45566</v>
      </c>
      <c r="B85" t="s">
        <v>41</v>
      </c>
      <c r="C85" t="s">
        <v>36</v>
      </c>
      <c r="D85">
        <v>57.54</v>
      </c>
      <c r="E85">
        <v>23686.95</v>
      </c>
      <c r="F85">
        <v>0.35</v>
      </c>
      <c r="G85">
        <v>1.01</v>
      </c>
      <c r="H85">
        <v>4117</v>
      </c>
      <c r="I85">
        <v>9</v>
      </c>
    </row>
    <row r="86" spans="1:9" x14ac:dyDescent="0.3">
      <c r="A86" s="1">
        <v>45566</v>
      </c>
      <c r="B86" t="s">
        <v>42</v>
      </c>
      <c r="C86" t="s">
        <v>36</v>
      </c>
      <c r="D86">
        <v>55.07</v>
      </c>
      <c r="E86">
        <v>4137.17</v>
      </c>
      <c r="F86">
        <v>0.33</v>
      </c>
      <c r="G86">
        <v>0.18</v>
      </c>
      <c r="H86">
        <v>751</v>
      </c>
      <c r="I86">
        <v>10</v>
      </c>
    </row>
    <row r="87" spans="1:9" x14ac:dyDescent="0.3">
      <c r="A87" s="1">
        <v>45566</v>
      </c>
      <c r="B87" t="s">
        <v>43</v>
      </c>
      <c r="C87" t="s">
        <v>36</v>
      </c>
      <c r="D87">
        <v>51.92</v>
      </c>
      <c r="E87">
        <v>7565.22</v>
      </c>
      <c r="F87">
        <v>0.31</v>
      </c>
      <c r="G87">
        <v>0.32</v>
      </c>
      <c r="H87">
        <v>1457</v>
      </c>
      <c r="I87">
        <v>11</v>
      </c>
    </row>
    <row r="88" spans="1:9" x14ac:dyDescent="0.3">
      <c r="A88" s="1">
        <v>45566</v>
      </c>
      <c r="B88" t="s">
        <v>47</v>
      </c>
      <c r="C88" t="s">
        <v>36</v>
      </c>
      <c r="D88">
        <v>49.68</v>
      </c>
      <c r="E88">
        <v>2167.86</v>
      </c>
      <c r="F88">
        <v>0.3</v>
      </c>
      <c r="G88">
        <v>0.09</v>
      </c>
      <c r="H88">
        <v>436</v>
      </c>
      <c r="I88">
        <v>12</v>
      </c>
    </row>
    <row r="89" spans="1:9" x14ac:dyDescent="0.3">
      <c r="A89" s="1">
        <v>45566</v>
      </c>
      <c r="B89" t="s">
        <v>44</v>
      </c>
      <c r="C89" t="s">
        <v>36</v>
      </c>
      <c r="D89">
        <v>39.409999999999997</v>
      </c>
      <c r="E89">
        <v>10427.969999999999</v>
      </c>
      <c r="F89">
        <v>0.24</v>
      </c>
      <c r="G89">
        <v>0.44</v>
      </c>
      <c r="H89">
        <v>2646</v>
      </c>
      <c r="I89">
        <v>13</v>
      </c>
    </row>
    <row r="90" spans="1:9" x14ac:dyDescent="0.3">
      <c r="A90" s="1">
        <v>45566</v>
      </c>
      <c r="B90" t="s">
        <v>45</v>
      </c>
      <c r="C90" t="s">
        <v>36</v>
      </c>
      <c r="D90">
        <v>36.79</v>
      </c>
      <c r="E90">
        <v>10245.469999999999</v>
      </c>
      <c r="F90">
        <v>0.22</v>
      </c>
      <c r="G90">
        <v>0.44</v>
      </c>
      <c r="H90">
        <v>2785</v>
      </c>
      <c r="I90">
        <v>14</v>
      </c>
    </row>
    <row r="91" spans="1:9" x14ac:dyDescent="0.3">
      <c r="A91" s="1">
        <v>45566</v>
      </c>
      <c r="B91" t="s">
        <v>46</v>
      </c>
      <c r="C91" t="s">
        <v>36</v>
      </c>
      <c r="D91">
        <v>29.9</v>
      </c>
      <c r="E91">
        <v>10170.6</v>
      </c>
      <c r="F91">
        <v>0.18</v>
      </c>
      <c r="G91">
        <v>0.43</v>
      </c>
      <c r="H91">
        <v>3402</v>
      </c>
      <c r="I91">
        <v>15</v>
      </c>
    </row>
    <row r="92" spans="1:9" x14ac:dyDescent="0.3">
      <c r="A92" s="1">
        <v>45566</v>
      </c>
      <c r="B92" t="s">
        <v>48</v>
      </c>
      <c r="C92" t="s">
        <v>36</v>
      </c>
      <c r="D92">
        <v>20.03</v>
      </c>
      <c r="E92">
        <v>1504.36</v>
      </c>
      <c r="F92">
        <v>0.12</v>
      </c>
      <c r="G92">
        <v>0.06</v>
      </c>
      <c r="H92">
        <v>751</v>
      </c>
      <c r="I92">
        <v>16</v>
      </c>
    </row>
    <row r="93" spans="1:9" x14ac:dyDescent="0.3">
      <c r="A93" s="1">
        <v>45566</v>
      </c>
      <c r="B93" t="s">
        <v>49</v>
      </c>
      <c r="C93" t="s">
        <v>36</v>
      </c>
      <c r="D93">
        <v>17.2</v>
      </c>
      <c r="E93">
        <v>2995.42</v>
      </c>
      <c r="F93">
        <v>0.1</v>
      </c>
      <c r="G93">
        <v>0.13</v>
      </c>
      <c r="H93">
        <v>1742</v>
      </c>
      <c r="I93">
        <v>17</v>
      </c>
    </row>
    <row r="94" spans="1:9" x14ac:dyDescent="0.3">
      <c r="A94" s="1">
        <v>45566</v>
      </c>
      <c r="B94" t="s">
        <v>50</v>
      </c>
      <c r="C94" t="s">
        <v>36</v>
      </c>
      <c r="D94">
        <v>15.35</v>
      </c>
      <c r="E94">
        <v>11862.09</v>
      </c>
      <c r="F94">
        <v>0.09</v>
      </c>
      <c r="G94">
        <v>0.5</v>
      </c>
      <c r="H94">
        <v>7728</v>
      </c>
      <c r="I94">
        <v>18</v>
      </c>
    </row>
    <row r="95" spans="1:9" x14ac:dyDescent="0.3">
      <c r="A95" s="1">
        <v>45566</v>
      </c>
      <c r="B95" t="s">
        <v>51</v>
      </c>
      <c r="C95" t="s">
        <v>36</v>
      </c>
      <c r="D95">
        <v>14.62</v>
      </c>
      <c r="E95">
        <v>825.95</v>
      </c>
      <c r="F95">
        <v>0.09</v>
      </c>
      <c r="G95">
        <v>0.04</v>
      </c>
      <c r="H95">
        <v>565</v>
      </c>
      <c r="I95">
        <v>19</v>
      </c>
    </row>
    <row r="96" spans="1:9" x14ac:dyDescent="0.3">
      <c r="A96" s="1">
        <v>45566</v>
      </c>
      <c r="B96" t="s">
        <v>53</v>
      </c>
      <c r="C96" t="s">
        <v>36</v>
      </c>
      <c r="D96">
        <v>12.19</v>
      </c>
      <c r="E96">
        <v>907.37</v>
      </c>
      <c r="F96">
        <v>7.0000000000000007E-2</v>
      </c>
      <c r="G96">
        <v>0.04</v>
      </c>
      <c r="H96">
        <v>744</v>
      </c>
      <c r="I96">
        <v>20</v>
      </c>
    </row>
    <row r="97" spans="1:9" x14ac:dyDescent="0.3">
      <c r="A97" s="1">
        <v>45566</v>
      </c>
      <c r="B97" t="s">
        <v>54</v>
      </c>
      <c r="C97" t="s">
        <v>36</v>
      </c>
      <c r="D97">
        <v>11.73</v>
      </c>
      <c r="E97">
        <v>3527.88</v>
      </c>
      <c r="F97">
        <v>7.0000000000000007E-2</v>
      </c>
      <c r="G97">
        <v>0.15</v>
      </c>
      <c r="H97">
        <v>3008</v>
      </c>
      <c r="I97">
        <v>21</v>
      </c>
    </row>
    <row r="98" spans="1:9" x14ac:dyDescent="0.3">
      <c r="A98" s="1">
        <v>45566</v>
      </c>
      <c r="B98" t="s">
        <v>52</v>
      </c>
      <c r="C98" t="s">
        <v>36</v>
      </c>
      <c r="D98">
        <v>10.66</v>
      </c>
      <c r="E98">
        <v>2330.2600000000002</v>
      </c>
      <c r="F98">
        <v>0.06</v>
      </c>
      <c r="G98">
        <v>0.1</v>
      </c>
      <c r="H98">
        <v>2186</v>
      </c>
      <c r="I98">
        <v>22</v>
      </c>
    </row>
    <row r="99" spans="1:9" x14ac:dyDescent="0.3">
      <c r="A99" s="1">
        <v>45566</v>
      </c>
      <c r="B99" t="s">
        <v>57</v>
      </c>
      <c r="C99" t="s">
        <v>36</v>
      </c>
      <c r="D99">
        <v>10.11</v>
      </c>
      <c r="E99">
        <v>1507.56</v>
      </c>
      <c r="F99">
        <v>0.06</v>
      </c>
      <c r="G99">
        <v>0.06</v>
      </c>
      <c r="H99">
        <v>1491</v>
      </c>
      <c r="I99">
        <v>23</v>
      </c>
    </row>
    <row r="100" spans="1:9" x14ac:dyDescent="0.3">
      <c r="A100" s="1">
        <v>45566</v>
      </c>
      <c r="B100" t="s">
        <v>55</v>
      </c>
      <c r="C100" t="s">
        <v>36</v>
      </c>
      <c r="D100">
        <v>9.33</v>
      </c>
      <c r="E100">
        <v>2162.85</v>
      </c>
      <c r="F100">
        <v>0.06</v>
      </c>
      <c r="G100">
        <v>0.09</v>
      </c>
      <c r="H100">
        <v>2318</v>
      </c>
      <c r="I100">
        <v>24</v>
      </c>
    </row>
    <row r="101" spans="1:9" x14ac:dyDescent="0.3">
      <c r="A101" s="1">
        <v>45566</v>
      </c>
      <c r="B101" t="s">
        <v>56</v>
      </c>
      <c r="C101" t="s">
        <v>36</v>
      </c>
      <c r="D101">
        <v>8.56</v>
      </c>
      <c r="E101">
        <v>664.7</v>
      </c>
      <c r="F101">
        <v>0.05</v>
      </c>
      <c r="G101">
        <v>0.03</v>
      </c>
      <c r="H101">
        <v>777</v>
      </c>
      <c r="I101">
        <v>25</v>
      </c>
    </row>
    <row r="102" spans="1:9" x14ac:dyDescent="0.3">
      <c r="A102" s="1">
        <v>45566</v>
      </c>
      <c r="B102" t="s">
        <v>59</v>
      </c>
      <c r="C102" t="s">
        <v>36</v>
      </c>
      <c r="D102">
        <v>6.36</v>
      </c>
      <c r="E102">
        <v>873.89</v>
      </c>
      <c r="F102">
        <v>0.04</v>
      </c>
      <c r="G102">
        <v>0.04</v>
      </c>
      <c r="H102">
        <v>1374</v>
      </c>
      <c r="I102">
        <v>26</v>
      </c>
    </row>
    <row r="103" spans="1:9" x14ac:dyDescent="0.3">
      <c r="A103" s="1">
        <v>45566</v>
      </c>
      <c r="B103" t="s">
        <v>108</v>
      </c>
      <c r="C103" t="s">
        <v>36</v>
      </c>
      <c r="D103">
        <v>3.44</v>
      </c>
      <c r="E103">
        <v>421.4</v>
      </c>
      <c r="F103">
        <v>0.02</v>
      </c>
      <c r="G103">
        <v>0.02</v>
      </c>
      <c r="H103">
        <v>1225</v>
      </c>
      <c r="I103">
        <v>27</v>
      </c>
    </row>
    <row r="104" spans="1:9" x14ac:dyDescent="0.3">
      <c r="A104" s="1">
        <v>45566</v>
      </c>
      <c r="B104" t="s">
        <v>63</v>
      </c>
      <c r="C104" t="s">
        <v>36</v>
      </c>
      <c r="D104">
        <v>3.31</v>
      </c>
      <c r="E104">
        <v>785.24</v>
      </c>
      <c r="F104">
        <v>0.02</v>
      </c>
      <c r="G104">
        <v>0.03</v>
      </c>
      <c r="H104">
        <v>2372</v>
      </c>
      <c r="I104">
        <v>28</v>
      </c>
    </row>
    <row r="105" spans="1:9" x14ac:dyDescent="0.3">
      <c r="A105" s="1">
        <v>45566</v>
      </c>
      <c r="B105" t="s">
        <v>61</v>
      </c>
      <c r="C105" t="s">
        <v>36</v>
      </c>
      <c r="D105">
        <v>3.27</v>
      </c>
      <c r="E105">
        <v>898.89</v>
      </c>
      <c r="F105">
        <v>0.02</v>
      </c>
      <c r="G105">
        <v>0.04</v>
      </c>
      <c r="H105">
        <v>2749</v>
      </c>
      <c r="I105">
        <v>29</v>
      </c>
    </row>
    <row r="106" spans="1:9" x14ac:dyDescent="0.3">
      <c r="A106" s="1">
        <v>45566</v>
      </c>
      <c r="B106" t="s">
        <v>62</v>
      </c>
      <c r="C106" t="s">
        <v>36</v>
      </c>
      <c r="D106">
        <v>3.23</v>
      </c>
      <c r="E106">
        <v>269.69</v>
      </c>
      <c r="F106">
        <v>0.02</v>
      </c>
      <c r="G106">
        <v>0.01</v>
      </c>
      <c r="H106">
        <v>835</v>
      </c>
      <c r="I106">
        <v>30</v>
      </c>
    </row>
    <row r="107" spans="1:9" x14ac:dyDescent="0.3">
      <c r="A107" s="1">
        <v>45566</v>
      </c>
      <c r="B107" t="s">
        <v>64</v>
      </c>
      <c r="C107" t="s">
        <v>36</v>
      </c>
      <c r="D107">
        <v>3.11</v>
      </c>
      <c r="E107">
        <v>513.42999999999995</v>
      </c>
      <c r="F107">
        <v>0.02</v>
      </c>
      <c r="G107">
        <v>0.02</v>
      </c>
      <c r="H107">
        <v>1651</v>
      </c>
      <c r="I107">
        <v>31</v>
      </c>
    </row>
    <row r="108" spans="1:9" x14ac:dyDescent="0.3">
      <c r="A108" s="1">
        <v>45566</v>
      </c>
      <c r="B108" t="s">
        <v>58</v>
      </c>
      <c r="C108" t="s">
        <v>36</v>
      </c>
      <c r="D108">
        <v>2.96</v>
      </c>
      <c r="E108">
        <v>542.57000000000005</v>
      </c>
      <c r="F108">
        <v>0.02</v>
      </c>
      <c r="G108">
        <v>0.02</v>
      </c>
      <c r="H108">
        <v>1833</v>
      </c>
      <c r="I108">
        <v>32</v>
      </c>
    </row>
    <row r="109" spans="1:9" x14ac:dyDescent="0.3">
      <c r="A109" s="1">
        <v>45566</v>
      </c>
      <c r="B109" t="s">
        <v>65</v>
      </c>
      <c r="C109" t="s">
        <v>36</v>
      </c>
      <c r="D109">
        <v>2.93</v>
      </c>
      <c r="E109">
        <v>209.84</v>
      </c>
      <c r="F109">
        <v>0.02</v>
      </c>
      <c r="G109">
        <v>0.01</v>
      </c>
      <c r="H109">
        <v>716</v>
      </c>
      <c r="I109">
        <v>33</v>
      </c>
    </row>
    <row r="110" spans="1:9" x14ac:dyDescent="0.3">
      <c r="A110" s="1">
        <v>45566</v>
      </c>
      <c r="B110" t="s">
        <v>67</v>
      </c>
      <c r="C110" t="s">
        <v>36</v>
      </c>
      <c r="D110">
        <v>2.88</v>
      </c>
      <c r="E110">
        <v>723.15</v>
      </c>
      <c r="F110">
        <v>0.02</v>
      </c>
      <c r="G110">
        <v>0.03</v>
      </c>
      <c r="H110">
        <v>2511</v>
      </c>
      <c r="I110">
        <v>34</v>
      </c>
    </row>
    <row r="111" spans="1:9" x14ac:dyDescent="0.3">
      <c r="A111" s="1">
        <v>45566</v>
      </c>
      <c r="B111" t="s">
        <v>60</v>
      </c>
      <c r="C111" t="s">
        <v>36</v>
      </c>
      <c r="D111">
        <v>2.58</v>
      </c>
      <c r="E111">
        <v>395.32</v>
      </c>
      <c r="F111">
        <v>0.02</v>
      </c>
      <c r="G111">
        <v>0.02</v>
      </c>
      <c r="H111">
        <v>1532</v>
      </c>
      <c r="I111">
        <v>35</v>
      </c>
    </row>
    <row r="112" spans="1:9" x14ac:dyDescent="0.3">
      <c r="A112" s="1">
        <v>45566</v>
      </c>
      <c r="B112" t="s">
        <v>66</v>
      </c>
      <c r="C112" t="s">
        <v>36</v>
      </c>
      <c r="D112">
        <v>2.15</v>
      </c>
      <c r="E112">
        <v>18.600000000000001</v>
      </c>
      <c r="F112">
        <v>0.01</v>
      </c>
      <c r="G112">
        <v>0</v>
      </c>
      <c r="H112">
        <v>87</v>
      </c>
      <c r="I112">
        <v>36</v>
      </c>
    </row>
    <row r="113" spans="1:9" x14ac:dyDescent="0.3">
      <c r="A113" s="1">
        <v>45566</v>
      </c>
      <c r="B113" t="s">
        <v>68</v>
      </c>
      <c r="C113" t="s">
        <v>36</v>
      </c>
      <c r="D113">
        <v>1.49</v>
      </c>
      <c r="E113">
        <v>96.52</v>
      </c>
      <c r="F113">
        <v>0.01</v>
      </c>
      <c r="G113">
        <v>0</v>
      </c>
      <c r="H113">
        <v>648</v>
      </c>
      <c r="I113">
        <v>37</v>
      </c>
    </row>
    <row r="114" spans="1:9" x14ac:dyDescent="0.3">
      <c r="A114" s="1">
        <v>45566</v>
      </c>
      <c r="B114" t="s">
        <v>69</v>
      </c>
      <c r="C114" t="s">
        <v>36</v>
      </c>
      <c r="D114">
        <v>1.1599999999999999</v>
      </c>
      <c r="E114">
        <v>499.63</v>
      </c>
      <c r="F114">
        <v>0.01</v>
      </c>
      <c r="G114">
        <v>0.02</v>
      </c>
      <c r="H114">
        <v>4307</v>
      </c>
      <c r="I114">
        <v>38</v>
      </c>
    </row>
    <row r="115" spans="1:9" x14ac:dyDescent="0.3">
      <c r="A115" s="1">
        <v>45566</v>
      </c>
      <c r="B115" t="s">
        <v>70</v>
      </c>
      <c r="C115" t="s">
        <v>36</v>
      </c>
      <c r="D115">
        <v>1.1100000000000001</v>
      </c>
      <c r="E115">
        <v>219.02</v>
      </c>
      <c r="F115">
        <v>0.01</v>
      </c>
      <c r="G115">
        <v>0.01</v>
      </c>
      <c r="H115">
        <v>1973</v>
      </c>
      <c r="I115">
        <v>39</v>
      </c>
    </row>
    <row r="116" spans="1:9" x14ac:dyDescent="0.3">
      <c r="A116" s="1">
        <v>45566</v>
      </c>
      <c r="B116" t="s">
        <v>72</v>
      </c>
      <c r="C116" t="s">
        <v>36</v>
      </c>
      <c r="D116">
        <v>0.97</v>
      </c>
      <c r="E116">
        <v>37.97</v>
      </c>
      <c r="F116">
        <v>0.01</v>
      </c>
      <c r="G116">
        <v>0</v>
      </c>
      <c r="H116">
        <v>391</v>
      </c>
      <c r="I116">
        <v>40</v>
      </c>
    </row>
    <row r="117" spans="1:9" x14ac:dyDescent="0.3">
      <c r="A117" s="1">
        <v>45566</v>
      </c>
      <c r="B117" t="s">
        <v>71</v>
      </c>
      <c r="C117" t="s">
        <v>36</v>
      </c>
      <c r="D117">
        <v>0.83</v>
      </c>
      <c r="E117">
        <v>144</v>
      </c>
      <c r="F117">
        <v>0.01</v>
      </c>
      <c r="G117">
        <v>0.01</v>
      </c>
      <c r="H117">
        <v>1735</v>
      </c>
      <c r="I117">
        <v>41</v>
      </c>
    </row>
    <row r="118" spans="1:9" x14ac:dyDescent="0.3">
      <c r="A118" s="1">
        <v>45566</v>
      </c>
      <c r="B118" t="s">
        <v>73</v>
      </c>
      <c r="C118" t="s">
        <v>36</v>
      </c>
      <c r="D118">
        <v>0.8</v>
      </c>
      <c r="E118">
        <v>282.02</v>
      </c>
      <c r="F118">
        <v>0</v>
      </c>
      <c r="G118">
        <v>0.01</v>
      </c>
      <c r="H118">
        <v>3525</v>
      </c>
      <c r="I118">
        <v>42</v>
      </c>
    </row>
    <row r="119" spans="1:9" x14ac:dyDescent="0.3">
      <c r="A119" s="1">
        <v>45566</v>
      </c>
      <c r="B119" t="s">
        <v>76</v>
      </c>
      <c r="C119" t="s">
        <v>36</v>
      </c>
      <c r="D119">
        <v>0.68</v>
      </c>
      <c r="E119">
        <v>179.35</v>
      </c>
      <c r="F119">
        <v>0</v>
      </c>
      <c r="G119">
        <v>0.01</v>
      </c>
      <c r="H119">
        <v>2638</v>
      </c>
      <c r="I119">
        <v>43</v>
      </c>
    </row>
    <row r="120" spans="1:9" x14ac:dyDescent="0.3">
      <c r="A120" s="1">
        <v>45566</v>
      </c>
      <c r="B120" t="s">
        <v>74</v>
      </c>
      <c r="C120" t="s">
        <v>36</v>
      </c>
      <c r="D120">
        <v>0.61</v>
      </c>
      <c r="E120">
        <v>179.8</v>
      </c>
      <c r="F120">
        <v>0</v>
      </c>
      <c r="G120">
        <v>0.01</v>
      </c>
      <c r="H120">
        <v>2948</v>
      </c>
      <c r="I120">
        <v>44</v>
      </c>
    </row>
    <row r="121" spans="1:9" x14ac:dyDescent="0.3">
      <c r="A121" s="1">
        <v>45566</v>
      </c>
      <c r="B121" t="s">
        <v>75</v>
      </c>
      <c r="C121" t="s">
        <v>36</v>
      </c>
      <c r="D121">
        <v>0.61</v>
      </c>
      <c r="E121">
        <v>214.82</v>
      </c>
      <c r="F121">
        <v>0</v>
      </c>
      <c r="G121">
        <v>0.01</v>
      </c>
      <c r="H121">
        <v>3522</v>
      </c>
      <c r="I121">
        <v>44</v>
      </c>
    </row>
    <row r="122" spans="1:9" x14ac:dyDescent="0.3">
      <c r="A122" s="1">
        <v>45566</v>
      </c>
      <c r="B122" t="s">
        <v>77</v>
      </c>
      <c r="C122" t="s">
        <v>36</v>
      </c>
      <c r="D122">
        <v>0.57999999999999996</v>
      </c>
      <c r="E122">
        <v>70.11</v>
      </c>
      <c r="F122">
        <v>0</v>
      </c>
      <c r="G122">
        <v>0</v>
      </c>
      <c r="H122">
        <v>1209</v>
      </c>
      <c r="I122">
        <v>46</v>
      </c>
    </row>
    <row r="123" spans="1:9" x14ac:dyDescent="0.3">
      <c r="A123" s="1">
        <v>45566</v>
      </c>
      <c r="B123" t="s">
        <v>78</v>
      </c>
      <c r="C123" t="s">
        <v>36</v>
      </c>
      <c r="D123">
        <v>0.49</v>
      </c>
      <c r="E123">
        <v>146.97999999999999</v>
      </c>
      <c r="F123">
        <v>0</v>
      </c>
      <c r="G123">
        <v>0.01</v>
      </c>
      <c r="H123">
        <v>3000</v>
      </c>
      <c r="I123">
        <v>47</v>
      </c>
    </row>
    <row r="124" spans="1:9" x14ac:dyDescent="0.3">
      <c r="A124" s="1">
        <v>45566</v>
      </c>
      <c r="B124" t="s">
        <v>81</v>
      </c>
      <c r="C124" t="s">
        <v>36</v>
      </c>
      <c r="D124">
        <v>0.47</v>
      </c>
      <c r="E124">
        <v>47.25</v>
      </c>
      <c r="F124">
        <v>0</v>
      </c>
      <c r="G124">
        <v>0</v>
      </c>
      <c r="H124">
        <v>1005</v>
      </c>
      <c r="I124">
        <v>48</v>
      </c>
    </row>
    <row r="125" spans="1:9" x14ac:dyDescent="0.3">
      <c r="A125" s="1">
        <v>45566</v>
      </c>
      <c r="B125" t="s">
        <v>79</v>
      </c>
      <c r="C125" t="s">
        <v>36</v>
      </c>
      <c r="D125">
        <v>0.46</v>
      </c>
      <c r="E125">
        <v>166.18</v>
      </c>
      <c r="F125">
        <v>0</v>
      </c>
      <c r="G125">
        <v>0.01</v>
      </c>
      <c r="H125">
        <v>3613</v>
      </c>
      <c r="I125">
        <v>49</v>
      </c>
    </row>
    <row r="126" spans="1:9" x14ac:dyDescent="0.3">
      <c r="A126" s="1">
        <v>45566</v>
      </c>
      <c r="B126" t="s">
        <v>82</v>
      </c>
      <c r="C126" t="s">
        <v>36</v>
      </c>
      <c r="D126">
        <v>0.41</v>
      </c>
      <c r="E126">
        <v>66.739999999999995</v>
      </c>
      <c r="F126">
        <v>0</v>
      </c>
      <c r="G126">
        <v>0</v>
      </c>
      <c r="H126">
        <v>1628</v>
      </c>
      <c r="I126">
        <v>50</v>
      </c>
    </row>
    <row r="127" spans="1:9" x14ac:dyDescent="0.3">
      <c r="A127" s="1">
        <v>45566</v>
      </c>
      <c r="B127" t="s">
        <v>80</v>
      </c>
      <c r="C127" t="s">
        <v>36</v>
      </c>
      <c r="D127">
        <v>0.36</v>
      </c>
      <c r="E127">
        <v>93.29</v>
      </c>
      <c r="F127">
        <v>0</v>
      </c>
      <c r="G127">
        <v>0</v>
      </c>
      <c r="H127">
        <v>2591</v>
      </c>
      <c r="I127">
        <v>51</v>
      </c>
    </row>
    <row r="128" spans="1:9" x14ac:dyDescent="0.3">
      <c r="A128" s="1">
        <v>45566</v>
      </c>
      <c r="B128" t="s">
        <v>84</v>
      </c>
      <c r="C128" t="s">
        <v>36</v>
      </c>
      <c r="D128">
        <v>0.31</v>
      </c>
      <c r="E128">
        <v>77.02</v>
      </c>
      <c r="F128">
        <v>0</v>
      </c>
      <c r="G128">
        <v>0</v>
      </c>
      <c r="H128">
        <v>2485</v>
      </c>
      <c r="I128">
        <v>52</v>
      </c>
    </row>
    <row r="129" spans="1:9" x14ac:dyDescent="0.3">
      <c r="A129" s="1">
        <v>45566</v>
      </c>
      <c r="B129" t="s">
        <v>85</v>
      </c>
      <c r="C129" t="s">
        <v>36</v>
      </c>
      <c r="D129">
        <v>0.31</v>
      </c>
      <c r="E129">
        <v>74.8</v>
      </c>
      <c r="F129">
        <v>0</v>
      </c>
      <c r="G129">
        <v>0</v>
      </c>
      <c r="H129">
        <v>2413</v>
      </c>
      <c r="I129">
        <v>52</v>
      </c>
    </row>
    <row r="130" spans="1:9" x14ac:dyDescent="0.3">
      <c r="A130" s="1">
        <v>45566</v>
      </c>
      <c r="B130" t="s">
        <v>100</v>
      </c>
      <c r="C130" t="s">
        <v>36</v>
      </c>
      <c r="D130">
        <v>0.28999999999999998</v>
      </c>
      <c r="E130">
        <v>261.08</v>
      </c>
      <c r="F130">
        <v>0</v>
      </c>
      <c r="G130">
        <v>0.01</v>
      </c>
      <c r="H130">
        <v>9003</v>
      </c>
      <c r="I130">
        <v>54</v>
      </c>
    </row>
    <row r="131" spans="1:9" x14ac:dyDescent="0.3">
      <c r="A131" s="1">
        <v>45566</v>
      </c>
      <c r="B131" t="s">
        <v>83</v>
      </c>
      <c r="C131" t="s">
        <v>36</v>
      </c>
      <c r="D131">
        <v>0.26</v>
      </c>
      <c r="E131">
        <v>0.05</v>
      </c>
      <c r="F131">
        <v>0</v>
      </c>
      <c r="G131">
        <v>0</v>
      </c>
      <c r="H131">
        <v>2</v>
      </c>
      <c r="I131">
        <v>55</v>
      </c>
    </row>
    <row r="132" spans="1:9" x14ac:dyDescent="0.3">
      <c r="A132" s="1">
        <v>45566</v>
      </c>
      <c r="B132" t="s">
        <v>89</v>
      </c>
      <c r="C132" t="s">
        <v>36</v>
      </c>
      <c r="D132">
        <v>0.2</v>
      </c>
      <c r="E132">
        <v>45.85</v>
      </c>
      <c r="F132">
        <v>0</v>
      </c>
      <c r="G132">
        <v>0</v>
      </c>
      <c r="H132">
        <v>2293</v>
      </c>
      <c r="I132">
        <v>56</v>
      </c>
    </row>
    <row r="133" spans="1:9" x14ac:dyDescent="0.3">
      <c r="A133" s="1">
        <v>45566</v>
      </c>
      <c r="B133" t="s">
        <v>86</v>
      </c>
      <c r="C133" t="s">
        <v>36</v>
      </c>
      <c r="D133">
        <v>0.2</v>
      </c>
      <c r="E133">
        <v>56.07</v>
      </c>
      <c r="F133">
        <v>0</v>
      </c>
      <c r="G133">
        <v>0</v>
      </c>
      <c r="H133">
        <v>2804</v>
      </c>
      <c r="I133">
        <v>56</v>
      </c>
    </row>
    <row r="134" spans="1:9" x14ac:dyDescent="0.3">
      <c r="A134" s="1">
        <v>45566</v>
      </c>
      <c r="B134" t="s">
        <v>87</v>
      </c>
      <c r="C134" t="s">
        <v>36</v>
      </c>
      <c r="D134">
        <v>0.2</v>
      </c>
      <c r="E134">
        <v>131.83000000000001</v>
      </c>
      <c r="F134">
        <v>0</v>
      </c>
      <c r="G134">
        <v>0.01</v>
      </c>
      <c r="H134">
        <v>6592</v>
      </c>
      <c r="I134">
        <v>56</v>
      </c>
    </row>
    <row r="135" spans="1:9" x14ac:dyDescent="0.3">
      <c r="A135" s="1">
        <v>45566</v>
      </c>
      <c r="B135" t="s">
        <v>88</v>
      </c>
      <c r="C135" t="s">
        <v>36</v>
      </c>
      <c r="D135">
        <v>0.16</v>
      </c>
      <c r="E135">
        <v>34.880000000000003</v>
      </c>
      <c r="F135">
        <v>0</v>
      </c>
      <c r="G135">
        <v>0</v>
      </c>
      <c r="H135">
        <v>2180</v>
      </c>
      <c r="I135">
        <v>59</v>
      </c>
    </row>
    <row r="136" spans="1:9" x14ac:dyDescent="0.3">
      <c r="A136" s="1">
        <v>45566</v>
      </c>
      <c r="B136" t="s">
        <v>90</v>
      </c>
      <c r="C136" t="s">
        <v>36</v>
      </c>
      <c r="D136">
        <v>0.13</v>
      </c>
      <c r="E136">
        <v>14.62</v>
      </c>
      <c r="F136">
        <v>0</v>
      </c>
      <c r="G136">
        <v>0</v>
      </c>
      <c r="H136">
        <v>1125</v>
      </c>
      <c r="I136">
        <v>60</v>
      </c>
    </row>
    <row r="137" spans="1:9" x14ac:dyDescent="0.3">
      <c r="A137" s="1">
        <v>45566</v>
      </c>
      <c r="B137" t="s">
        <v>99</v>
      </c>
      <c r="C137" t="s">
        <v>36</v>
      </c>
      <c r="D137">
        <v>0.13</v>
      </c>
      <c r="E137">
        <v>16.510000000000002</v>
      </c>
      <c r="F137">
        <v>0</v>
      </c>
      <c r="G137">
        <v>0</v>
      </c>
      <c r="H137">
        <v>1270</v>
      </c>
      <c r="I137">
        <v>60</v>
      </c>
    </row>
    <row r="138" spans="1:9" x14ac:dyDescent="0.3">
      <c r="A138" s="1">
        <v>45566</v>
      </c>
      <c r="B138" t="s">
        <v>92</v>
      </c>
      <c r="C138" t="s">
        <v>36</v>
      </c>
      <c r="D138">
        <v>0.1</v>
      </c>
      <c r="E138">
        <v>55.57</v>
      </c>
      <c r="F138">
        <v>0</v>
      </c>
      <c r="G138">
        <v>0</v>
      </c>
      <c r="H138">
        <v>5557</v>
      </c>
      <c r="I138">
        <v>62</v>
      </c>
    </row>
    <row r="139" spans="1:9" x14ac:dyDescent="0.3">
      <c r="A139" s="1">
        <v>45566</v>
      </c>
      <c r="B139" t="s">
        <v>94</v>
      </c>
      <c r="C139" t="s">
        <v>36</v>
      </c>
      <c r="D139">
        <v>0.09</v>
      </c>
      <c r="E139">
        <v>12.1</v>
      </c>
      <c r="F139">
        <v>0</v>
      </c>
      <c r="G139">
        <v>0</v>
      </c>
      <c r="H139">
        <v>1344</v>
      </c>
      <c r="I139">
        <v>63</v>
      </c>
    </row>
    <row r="140" spans="1:9" x14ac:dyDescent="0.3">
      <c r="A140" s="1">
        <v>45566</v>
      </c>
      <c r="B140" t="s">
        <v>91</v>
      </c>
      <c r="C140" t="s">
        <v>36</v>
      </c>
      <c r="D140">
        <v>0.09</v>
      </c>
      <c r="E140">
        <v>5.94</v>
      </c>
      <c r="F140">
        <v>0</v>
      </c>
      <c r="G140">
        <v>0</v>
      </c>
      <c r="H140">
        <v>660</v>
      </c>
      <c r="I140">
        <v>63</v>
      </c>
    </row>
    <row r="141" spans="1:9" x14ac:dyDescent="0.3">
      <c r="A141" s="1">
        <v>45566</v>
      </c>
      <c r="B141" t="s">
        <v>97</v>
      </c>
      <c r="C141" t="s">
        <v>36</v>
      </c>
      <c r="D141">
        <v>0.08</v>
      </c>
      <c r="E141">
        <v>11.38</v>
      </c>
      <c r="F141">
        <v>0</v>
      </c>
      <c r="G141">
        <v>0</v>
      </c>
      <c r="H141">
        <v>1423</v>
      </c>
      <c r="I141">
        <v>65</v>
      </c>
    </row>
    <row r="142" spans="1:9" x14ac:dyDescent="0.3">
      <c r="A142" s="1">
        <v>45566</v>
      </c>
      <c r="B142" t="s">
        <v>95</v>
      </c>
      <c r="C142" t="s">
        <v>36</v>
      </c>
      <c r="D142">
        <v>0.08</v>
      </c>
      <c r="E142">
        <v>29.97</v>
      </c>
      <c r="F142">
        <v>0</v>
      </c>
      <c r="G142">
        <v>0</v>
      </c>
      <c r="H142">
        <v>3746</v>
      </c>
      <c r="I142">
        <v>65</v>
      </c>
    </row>
    <row r="143" spans="1:9" x14ac:dyDescent="0.3">
      <c r="A143" s="1">
        <v>45566</v>
      </c>
      <c r="B143" t="s">
        <v>93</v>
      </c>
      <c r="C143" t="s">
        <v>36</v>
      </c>
      <c r="D143">
        <v>0.08</v>
      </c>
      <c r="E143">
        <v>29.72</v>
      </c>
      <c r="F143">
        <v>0</v>
      </c>
      <c r="G143">
        <v>0</v>
      </c>
      <c r="H143">
        <v>3715</v>
      </c>
      <c r="I143">
        <v>65</v>
      </c>
    </row>
    <row r="144" spans="1:9" x14ac:dyDescent="0.3">
      <c r="A144" s="1">
        <v>45566</v>
      </c>
      <c r="B144" t="s">
        <v>96</v>
      </c>
      <c r="C144" t="s">
        <v>36</v>
      </c>
      <c r="D144">
        <v>7.0000000000000007E-2</v>
      </c>
      <c r="E144">
        <v>24.55</v>
      </c>
      <c r="F144">
        <v>0</v>
      </c>
      <c r="G144">
        <v>0</v>
      </c>
      <c r="H144">
        <v>3507</v>
      </c>
      <c r="I144">
        <v>68</v>
      </c>
    </row>
    <row r="145" spans="1:9" x14ac:dyDescent="0.3">
      <c r="A145" s="1">
        <v>45566</v>
      </c>
      <c r="B145" t="s">
        <v>102</v>
      </c>
      <c r="C145" t="s">
        <v>36</v>
      </c>
      <c r="D145">
        <v>7.0000000000000007E-2</v>
      </c>
      <c r="E145">
        <v>3.95</v>
      </c>
      <c r="F145">
        <v>0</v>
      </c>
      <c r="G145">
        <v>0</v>
      </c>
      <c r="H145">
        <v>564</v>
      </c>
      <c r="I145">
        <v>68</v>
      </c>
    </row>
    <row r="146" spans="1:9" x14ac:dyDescent="0.3">
      <c r="A146" s="1">
        <v>45566</v>
      </c>
      <c r="B146" t="s">
        <v>109</v>
      </c>
      <c r="C146" t="s">
        <v>36</v>
      </c>
      <c r="D146">
        <v>0.06</v>
      </c>
      <c r="E146">
        <v>8.57</v>
      </c>
      <c r="F146">
        <v>0</v>
      </c>
      <c r="G146">
        <v>0</v>
      </c>
      <c r="H146">
        <v>1428</v>
      </c>
      <c r="I146">
        <v>70</v>
      </c>
    </row>
    <row r="147" spans="1:9" x14ac:dyDescent="0.3">
      <c r="A147" s="1">
        <v>45566</v>
      </c>
      <c r="B147" t="s">
        <v>98</v>
      </c>
      <c r="C147" t="s">
        <v>36</v>
      </c>
      <c r="D147">
        <v>0.05</v>
      </c>
      <c r="E147">
        <v>7.27</v>
      </c>
      <c r="F147">
        <v>0</v>
      </c>
      <c r="G147">
        <v>0</v>
      </c>
      <c r="H147">
        <v>1454</v>
      </c>
      <c r="I147">
        <v>71</v>
      </c>
    </row>
    <row r="148" spans="1:9" x14ac:dyDescent="0.3">
      <c r="A148" s="1">
        <v>45566</v>
      </c>
      <c r="B148" t="s">
        <v>103</v>
      </c>
      <c r="C148" t="s">
        <v>36</v>
      </c>
      <c r="D148">
        <v>0.05</v>
      </c>
      <c r="E148">
        <v>2.7</v>
      </c>
      <c r="F148">
        <v>0</v>
      </c>
      <c r="G148">
        <v>0</v>
      </c>
      <c r="H148">
        <v>540</v>
      </c>
      <c r="I148">
        <v>71</v>
      </c>
    </row>
    <row r="149" spans="1:9" x14ac:dyDescent="0.3">
      <c r="A149" s="1">
        <v>45566</v>
      </c>
      <c r="B149" t="s">
        <v>101</v>
      </c>
      <c r="C149" t="s">
        <v>36</v>
      </c>
      <c r="D149">
        <v>0.05</v>
      </c>
      <c r="E149">
        <v>18.399999999999999</v>
      </c>
      <c r="F149">
        <v>0</v>
      </c>
      <c r="G149">
        <v>0</v>
      </c>
      <c r="H149">
        <v>3680</v>
      </c>
      <c r="I149">
        <v>71</v>
      </c>
    </row>
    <row r="150" spans="1:9" x14ac:dyDescent="0.3">
      <c r="A150" s="1">
        <v>45566</v>
      </c>
      <c r="B150" t="s">
        <v>105</v>
      </c>
      <c r="C150" t="s">
        <v>36</v>
      </c>
      <c r="D150">
        <v>0.04</v>
      </c>
      <c r="E150">
        <v>29.7</v>
      </c>
      <c r="F150">
        <v>0</v>
      </c>
      <c r="G150">
        <v>0</v>
      </c>
      <c r="H150">
        <v>7425</v>
      </c>
      <c r="I150">
        <v>74</v>
      </c>
    </row>
    <row r="151" spans="1:9" x14ac:dyDescent="0.3">
      <c r="A151" s="1">
        <v>45566</v>
      </c>
      <c r="B151" t="s">
        <v>104</v>
      </c>
      <c r="C151" t="s">
        <v>36</v>
      </c>
      <c r="D151">
        <v>0.03</v>
      </c>
      <c r="E151">
        <v>16.46</v>
      </c>
      <c r="F151">
        <v>0</v>
      </c>
      <c r="G151">
        <v>0</v>
      </c>
      <c r="H151">
        <v>5487</v>
      </c>
      <c r="I151">
        <v>75</v>
      </c>
    </row>
    <row r="152" spans="1:9" x14ac:dyDescent="0.3">
      <c r="A152" s="1">
        <v>45566</v>
      </c>
      <c r="B152" t="s">
        <v>110</v>
      </c>
      <c r="C152" t="s">
        <v>36</v>
      </c>
      <c r="D152">
        <v>0.02</v>
      </c>
      <c r="E152">
        <v>1.62</v>
      </c>
      <c r="F152">
        <v>0</v>
      </c>
      <c r="G152">
        <v>0</v>
      </c>
      <c r="H152">
        <v>810</v>
      </c>
      <c r="I152">
        <v>76</v>
      </c>
    </row>
    <row r="153" spans="1:9" x14ac:dyDescent="0.3">
      <c r="A153" s="1">
        <v>45597</v>
      </c>
      <c r="B153" t="s">
        <v>32</v>
      </c>
      <c r="C153" t="s">
        <v>32</v>
      </c>
      <c r="D153">
        <v>7401.93</v>
      </c>
      <c r="E153">
        <v>1088635.03</v>
      </c>
      <c r="F153">
        <v>47.81</v>
      </c>
      <c r="G153">
        <v>50.51</v>
      </c>
      <c r="H153">
        <v>1471</v>
      </c>
      <c r="I153">
        <v>1</v>
      </c>
    </row>
    <row r="154" spans="1:9" x14ac:dyDescent="0.3">
      <c r="A154" s="1">
        <v>45597</v>
      </c>
      <c r="B154" t="s">
        <v>33</v>
      </c>
      <c r="C154" t="s">
        <v>33</v>
      </c>
      <c r="D154">
        <v>5739.12</v>
      </c>
      <c r="E154">
        <v>764639.66</v>
      </c>
      <c r="F154">
        <v>37.07</v>
      </c>
      <c r="G154">
        <v>35.479999999999997</v>
      </c>
      <c r="H154">
        <v>1332</v>
      </c>
      <c r="I154">
        <v>2</v>
      </c>
    </row>
    <row r="155" spans="1:9" x14ac:dyDescent="0.3">
      <c r="A155" s="1">
        <v>45597</v>
      </c>
      <c r="B155" t="s">
        <v>34</v>
      </c>
      <c r="C155" t="s">
        <v>34</v>
      </c>
      <c r="D155">
        <v>1075.0899999999999</v>
      </c>
      <c r="E155">
        <v>118004.06</v>
      </c>
      <c r="F155">
        <v>6.94</v>
      </c>
      <c r="G155">
        <v>5.48</v>
      </c>
      <c r="H155">
        <v>1098</v>
      </c>
      <c r="I155">
        <v>3</v>
      </c>
    </row>
    <row r="156" spans="1:9" x14ac:dyDescent="0.3">
      <c r="A156" s="1">
        <v>45597</v>
      </c>
      <c r="B156" t="s">
        <v>37</v>
      </c>
      <c r="C156" t="s">
        <v>36</v>
      </c>
      <c r="D156">
        <v>152.94999999999999</v>
      </c>
      <c r="E156">
        <v>8806.4500000000007</v>
      </c>
      <c r="F156">
        <v>0.99</v>
      </c>
      <c r="G156">
        <v>0.41</v>
      </c>
      <c r="H156">
        <v>576</v>
      </c>
      <c r="I156">
        <v>4</v>
      </c>
    </row>
    <row r="157" spans="1:9" x14ac:dyDescent="0.3">
      <c r="A157" s="1">
        <v>45597</v>
      </c>
      <c r="B157" t="s">
        <v>35</v>
      </c>
      <c r="C157" t="s">
        <v>36</v>
      </c>
      <c r="D157">
        <v>138.24</v>
      </c>
      <c r="E157">
        <v>50560.480000000003</v>
      </c>
      <c r="F157">
        <v>0.89</v>
      </c>
      <c r="G157">
        <v>2.35</v>
      </c>
      <c r="H157">
        <v>3657</v>
      </c>
      <c r="I157">
        <v>5</v>
      </c>
    </row>
    <row r="158" spans="1:9" x14ac:dyDescent="0.3">
      <c r="A158" s="1">
        <v>45597</v>
      </c>
      <c r="B158" t="s">
        <v>38</v>
      </c>
      <c r="C158" t="s">
        <v>36</v>
      </c>
      <c r="D158">
        <v>130.36000000000001</v>
      </c>
      <c r="E158">
        <v>6337.84</v>
      </c>
      <c r="F158">
        <v>0.84</v>
      </c>
      <c r="G158">
        <v>0.28999999999999998</v>
      </c>
      <c r="H158">
        <v>486</v>
      </c>
      <c r="I158">
        <v>6</v>
      </c>
    </row>
    <row r="159" spans="1:9" x14ac:dyDescent="0.3">
      <c r="A159" s="1">
        <v>45597</v>
      </c>
      <c r="B159" t="s">
        <v>47</v>
      </c>
      <c r="C159" t="s">
        <v>36</v>
      </c>
      <c r="D159">
        <v>78.489999999999995</v>
      </c>
      <c r="E159">
        <v>3130.1</v>
      </c>
      <c r="F159">
        <v>0.51</v>
      </c>
      <c r="G159">
        <v>0.15</v>
      </c>
      <c r="H159">
        <v>399</v>
      </c>
      <c r="I159">
        <v>7</v>
      </c>
    </row>
    <row r="160" spans="1:9" x14ac:dyDescent="0.3">
      <c r="A160" s="1">
        <v>45597</v>
      </c>
      <c r="B160" t="s">
        <v>39</v>
      </c>
      <c r="C160" t="s">
        <v>36</v>
      </c>
      <c r="D160">
        <v>71.599999999999994</v>
      </c>
      <c r="E160">
        <v>7914.87</v>
      </c>
      <c r="F160">
        <v>0.46</v>
      </c>
      <c r="G160">
        <v>0.37</v>
      </c>
      <c r="H160">
        <v>1105</v>
      </c>
      <c r="I160">
        <v>8</v>
      </c>
    </row>
    <row r="161" spans="1:9" x14ac:dyDescent="0.3">
      <c r="A161" s="1">
        <v>45597</v>
      </c>
      <c r="B161" t="s">
        <v>40</v>
      </c>
      <c r="C161" t="s">
        <v>36</v>
      </c>
      <c r="D161">
        <v>67.41</v>
      </c>
      <c r="E161">
        <v>777.46</v>
      </c>
      <c r="F161">
        <v>0.44</v>
      </c>
      <c r="G161">
        <v>0.04</v>
      </c>
      <c r="H161">
        <v>115</v>
      </c>
      <c r="I161">
        <v>9</v>
      </c>
    </row>
    <row r="162" spans="1:9" x14ac:dyDescent="0.3">
      <c r="A162" s="1">
        <v>45597</v>
      </c>
      <c r="B162" t="s">
        <v>41</v>
      </c>
      <c r="C162" t="s">
        <v>36</v>
      </c>
      <c r="D162">
        <v>53.71</v>
      </c>
      <c r="E162">
        <v>21498.14</v>
      </c>
      <c r="F162">
        <v>0.35</v>
      </c>
      <c r="G162">
        <v>1</v>
      </c>
      <c r="H162">
        <v>4003</v>
      </c>
      <c r="I162">
        <v>10</v>
      </c>
    </row>
    <row r="163" spans="1:9" x14ac:dyDescent="0.3">
      <c r="A163" s="1">
        <v>45597</v>
      </c>
      <c r="B163" t="s">
        <v>42</v>
      </c>
      <c r="C163" t="s">
        <v>36</v>
      </c>
      <c r="D163">
        <v>51.76</v>
      </c>
      <c r="E163">
        <v>3890.1</v>
      </c>
      <c r="F163">
        <v>0.33</v>
      </c>
      <c r="G163">
        <v>0.18</v>
      </c>
      <c r="H163">
        <v>752</v>
      </c>
      <c r="I163">
        <v>11</v>
      </c>
    </row>
    <row r="164" spans="1:9" x14ac:dyDescent="0.3">
      <c r="A164" s="1">
        <v>45597</v>
      </c>
      <c r="B164" t="s">
        <v>43</v>
      </c>
      <c r="C164" t="s">
        <v>36</v>
      </c>
      <c r="D164">
        <v>47.35</v>
      </c>
      <c r="E164">
        <v>6583.09</v>
      </c>
      <c r="F164">
        <v>0.31</v>
      </c>
      <c r="G164">
        <v>0.31</v>
      </c>
      <c r="H164">
        <v>1390</v>
      </c>
      <c r="I164">
        <v>12</v>
      </c>
    </row>
    <row r="165" spans="1:9" x14ac:dyDescent="0.3">
      <c r="A165" s="1">
        <v>45597</v>
      </c>
      <c r="B165" t="s">
        <v>44</v>
      </c>
      <c r="C165" t="s">
        <v>36</v>
      </c>
      <c r="D165">
        <v>36.840000000000003</v>
      </c>
      <c r="E165">
        <v>10417.27</v>
      </c>
      <c r="F165">
        <v>0.24</v>
      </c>
      <c r="G165">
        <v>0.48</v>
      </c>
      <c r="H165">
        <v>2828</v>
      </c>
      <c r="I165">
        <v>13</v>
      </c>
    </row>
    <row r="166" spans="1:9" x14ac:dyDescent="0.3">
      <c r="A166" s="1">
        <v>45597</v>
      </c>
      <c r="B166" t="s">
        <v>45</v>
      </c>
      <c r="C166" t="s">
        <v>36</v>
      </c>
      <c r="D166">
        <v>35.69</v>
      </c>
      <c r="E166">
        <v>9215.09</v>
      </c>
      <c r="F166">
        <v>0.23</v>
      </c>
      <c r="G166">
        <v>0.43</v>
      </c>
      <c r="H166">
        <v>2582</v>
      </c>
      <c r="I166">
        <v>14</v>
      </c>
    </row>
    <row r="167" spans="1:9" x14ac:dyDescent="0.3">
      <c r="A167" s="1">
        <v>45597</v>
      </c>
      <c r="B167" t="s">
        <v>46</v>
      </c>
      <c r="C167" t="s">
        <v>36</v>
      </c>
      <c r="D167">
        <v>27.05</v>
      </c>
      <c r="E167">
        <v>8210.65</v>
      </c>
      <c r="F167">
        <v>0.17</v>
      </c>
      <c r="G167">
        <v>0.38</v>
      </c>
      <c r="H167">
        <v>3035</v>
      </c>
      <c r="I167">
        <v>15</v>
      </c>
    </row>
    <row r="168" spans="1:9" x14ac:dyDescent="0.3">
      <c r="A168" s="1">
        <v>45597</v>
      </c>
      <c r="B168" t="s">
        <v>48</v>
      </c>
      <c r="C168" t="s">
        <v>36</v>
      </c>
      <c r="D168">
        <v>18.600000000000001</v>
      </c>
      <c r="E168">
        <v>1389.73</v>
      </c>
      <c r="F168">
        <v>0.12</v>
      </c>
      <c r="G168">
        <v>0.06</v>
      </c>
      <c r="H168">
        <v>747</v>
      </c>
      <c r="I168">
        <v>16</v>
      </c>
    </row>
    <row r="169" spans="1:9" x14ac:dyDescent="0.3">
      <c r="A169" s="1">
        <v>45597</v>
      </c>
      <c r="B169" t="s">
        <v>49</v>
      </c>
      <c r="C169" t="s">
        <v>36</v>
      </c>
      <c r="D169">
        <v>16.63</v>
      </c>
      <c r="E169">
        <v>2942.38</v>
      </c>
      <c r="F169">
        <v>0.11</v>
      </c>
      <c r="G169">
        <v>0.14000000000000001</v>
      </c>
      <c r="H169">
        <v>1769</v>
      </c>
      <c r="I169">
        <v>17</v>
      </c>
    </row>
    <row r="170" spans="1:9" x14ac:dyDescent="0.3">
      <c r="A170" s="1">
        <v>45597</v>
      </c>
      <c r="B170" t="s">
        <v>51</v>
      </c>
      <c r="C170" t="s">
        <v>36</v>
      </c>
      <c r="D170">
        <v>13.25</v>
      </c>
      <c r="E170">
        <v>636.91</v>
      </c>
      <c r="F170">
        <v>0.09</v>
      </c>
      <c r="G170">
        <v>0.03</v>
      </c>
      <c r="H170">
        <v>481</v>
      </c>
      <c r="I170">
        <v>18</v>
      </c>
    </row>
    <row r="171" spans="1:9" x14ac:dyDescent="0.3">
      <c r="A171" s="1">
        <v>45597</v>
      </c>
      <c r="B171" t="s">
        <v>50</v>
      </c>
      <c r="C171" t="s">
        <v>36</v>
      </c>
      <c r="D171">
        <v>13.22</v>
      </c>
      <c r="E171">
        <v>8479.8700000000008</v>
      </c>
      <c r="F171">
        <v>0.09</v>
      </c>
      <c r="G171">
        <v>0.39</v>
      </c>
      <c r="H171">
        <v>6414</v>
      </c>
      <c r="I171">
        <v>19</v>
      </c>
    </row>
    <row r="172" spans="1:9" x14ac:dyDescent="0.3">
      <c r="A172" s="1">
        <v>45597</v>
      </c>
      <c r="B172" t="s">
        <v>53</v>
      </c>
      <c r="C172" t="s">
        <v>36</v>
      </c>
      <c r="D172">
        <v>11.54</v>
      </c>
      <c r="E172">
        <v>845.13</v>
      </c>
      <c r="F172">
        <v>7.0000000000000007E-2</v>
      </c>
      <c r="G172">
        <v>0.04</v>
      </c>
      <c r="H172">
        <v>732</v>
      </c>
      <c r="I172">
        <v>20</v>
      </c>
    </row>
    <row r="173" spans="1:9" x14ac:dyDescent="0.3">
      <c r="A173" s="1">
        <v>45597</v>
      </c>
      <c r="B173" t="s">
        <v>54</v>
      </c>
      <c r="C173" t="s">
        <v>36</v>
      </c>
      <c r="D173">
        <v>10.46</v>
      </c>
      <c r="E173">
        <v>3035.13</v>
      </c>
      <c r="F173">
        <v>7.0000000000000007E-2</v>
      </c>
      <c r="G173">
        <v>0.14000000000000001</v>
      </c>
      <c r="H173">
        <v>2902</v>
      </c>
      <c r="I173">
        <v>21</v>
      </c>
    </row>
    <row r="174" spans="1:9" x14ac:dyDescent="0.3">
      <c r="A174" s="1">
        <v>45597</v>
      </c>
      <c r="B174" t="s">
        <v>57</v>
      </c>
      <c r="C174" t="s">
        <v>36</v>
      </c>
      <c r="D174">
        <v>8.91</v>
      </c>
      <c r="E174">
        <v>1131.95</v>
      </c>
      <c r="F174">
        <v>0.06</v>
      </c>
      <c r="G174">
        <v>0.05</v>
      </c>
      <c r="H174">
        <v>1270</v>
      </c>
      <c r="I174">
        <v>22</v>
      </c>
    </row>
    <row r="175" spans="1:9" x14ac:dyDescent="0.3">
      <c r="A175" s="1">
        <v>45597</v>
      </c>
      <c r="B175" t="s">
        <v>55</v>
      </c>
      <c r="C175" t="s">
        <v>36</v>
      </c>
      <c r="D175">
        <v>8.6</v>
      </c>
      <c r="E175">
        <v>1932.32</v>
      </c>
      <c r="F175">
        <v>0.06</v>
      </c>
      <c r="G175">
        <v>0.09</v>
      </c>
      <c r="H175">
        <v>2247</v>
      </c>
      <c r="I175">
        <v>23</v>
      </c>
    </row>
    <row r="176" spans="1:9" x14ac:dyDescent="0.3">
      <c r="A176" s="1">
        <v>45597</v>
      </c>
      <c r="B176" t="s">
        <v>52</v>
      </c>
      <c r="C176" t="s">
        <v>36</v>
      </c>
      <c r="D176">
        <v>8.1</v>
      </c>
      <c r="E176">
        <v>1584.15</v>
      </c>
      <c r="F176">
        <v>0.05</v>
      </c>
      <c r="G176">
        <v>7.0000000000000007E-2</v>
      </c>
      <c r="H176">
        <v>1956</v>
      </c>
      <c r="I176">
        <v>24</v>
      </c>
    </row>
    <row r="177" spans="1:9" x14ac:dyDescent="0.3">
      <c r="A177" s="1">
        <v>45597</v>
      </c>
      <c r="B177" t="s">
        <v>56</v>
      </c>
      <c r="C177" t="s">
        <v>36</v>
      </c>
      <c r="D177">
        <v>7.9</v>
      </c>
      <c r="E177">
        <v>578.99</v>
      </c>
      <c r="F177">
        <v>0.05</v>
      </c>
      <c r="G177">
        <v>0.03</v>
      </c>
      <c r="H177">
        <v>733</v>
      </c>
      <c r="I177">
        <v>25</v>
      </c>
    </row>
    <row r="178" spans="1:9" x14ac:dyDescent="0.3">
      <c r="A178" s="1">
        <v>45597</v>
      </c>
      <c r="B178" t="s">
        <v>59</v>
      </c>
      <c r="C178" t="s">
        <v>36</v>
      </c>
      <c r="D178">
        <v>6.02</v>
      </c>
      <c r="E178">
        <v>825.36</v>
      </c>
      <c r="F178">
        <v>0.04</v>
      </c>
      <c r="G178">
        <v>0.04</v>
      </c>
      <c r="H178">
        <v>1371</v>
      </c>
      <c r="I178">
        <v>26</v>
      </c>
    </row>
    <row r="179" spans="1:9" x14ac:dyDescent="0.3">
      <c r="A179" s="1">
        <v>45597</v>
      </c>
      <c r="B179" t="s">
        <v>67</v>
      </c>
      <c r="C179" t="s">
        <v>36</v>
      </c>
      <c r="D179">
        <v>5.03</v>
      </c>
      <c r="E179">
        <v>914.28</v>
      </c>
      <c r="F179">
        <v>0.03</v>
      </c>
      <c r="G179">
        <v>0.04</v>
      </c>
      <c r="H179">
        <v>1818</v>
      </c>
      <c r="I179">
        <v>27</v>
      </c>
    </row>
    <row r="180" spans="1:9" x14ac:dyDescent="0.3">
      <c r="A180" s="1">
        <v>45597</v>
      </c>
      <c r="B180" t="s">
        <v>65</v>
      </c>
      <c r="C180" t="s">
        <v>36</v>
      </c>
      <c r="D180">
        <v>4</v>
      </c>
      <c r="E180">
        <v>267.14999999999998</v>
      </c>
      <c r="F180">
        <v>0.03</v>
      </c>
      <c r="G180">
        <v>0.01</v>
      </c>
      <c r="H180">
        <v>668</v>
      </c>
      <c r="I180">
        <v>28</v>
      </c>
    </row>
    <row r="181" spans="1:9" x14ac:dyDescent="0.3">
      <c r="A181" s="1">
        <v>45597</v>
      </c>
      <c r="B181" t="s">
        <v>58</v>
      </c>
      <c r="C181" t="s">
        <v>36</v>
      </c>
      <c r="D181">
        <v>3.36</v>
      </c>
      <c r="E181">
        <v>578.23</v>
      </c>
      <c r="F181">
        <v>0.02</v>
      </c>
      <c r="G181">
        <v>0.03</v>
      </c>
      <c r="H181">
        <v>1721</v>
      </c>
      <c r="I181">
        <v>29</v>
      </c>
    </row>
    <row r="182" spans="1:9" x14ac:dyDescent="0.3">
      <c r="A182" s="1">
        <v>45597</v>
      </c>
      <c r="B182" t="s">
        <v>63</v>
      </c>
      <c r="C182" t="s">
        <v>36</v>
      </c>
      <c r="D182">
        <v>3.31</v>
      </c>
      <c r="E182">
        <v>753.1</v>
      </c>
      <c r="F182">
        <v>0.02</v>
      </c>
      <c r="G182">
        <v>0.03</v>
      </c>
      <c r="H182">
        <v>2275</v>
      </c>
      <c r="I182">
        <v>30</v>
      </c>
    </row>
    <row r="183" spans="1:9" x14ac:dyDescent="0.3">
      <c r="A183" s="1">
        <v>45597</v>
      </c>
      <c r="B183" t="s">
        <v>62</v>
      </c>
      <c r="C183" t="s">
        <v>36</v>
      </c>
      <c r="D183">
        <v>3.18</v>
      </c>
      <c r="E183">
        <v>263.81</v>
      </c>
      <c r="F183">
        <v>0.02</v>
      </c>
      <c r="G183">
        <v>0.01</v>
      </c>
      <c r="H183">
        <v>830</v>
      </c>
      <c r="I183">
        <v>31</v>
      </c>
    </row>
    <row r="184" spans="1:9" x14ac:dyDescent="0.3">
      <c r="A184" s="1">
        <v>45597</v>
      </c>
      <c r="B184" t="s">
        <v>108</v>
      </c>
      <c r="C184" t="s">
        <v>36</v>
      </c>
      <c r="D184">
        <v>3.07</v>
      </c>
      <c r="E184">
        <v>373.29</v>
      </c>
      <c r="F184">
        <v>0.02</v>
      </c>
      <c r="G184">
        <v>0.02</v>
      </c>
      <c r="H184">
        <v>1216</v>
      </c>
      <c r="I184">
        <v>32</v>
      </c>
    </row>
    <row r="185" spans="1:9" x14ac:dyDescent="0.3">
      <c r="A185" s="1">
        <v>45597</v>
      </c>
      <c r="B185" t="s">
        <v>61</v>
      </c>
      <c r="C185" t="s">
        <v>36</v>
      </c>
      <c r="D185">
        <v>3.01</v>
      </c>
      <c r="E185">
        <v>802.16</v>
      </c>
      <c r="F185">
        <v>0.02</v>
      </c>
      <c r="G185">
        <v>0.04</v>
      </c>
      <c r="H185">
        <v>2665</v>
      </c>
      <c r="I185">
        <v>33</v>
      </c>
    </row>
    <row r="186" spans="1:9" x14ac:dyDescent="0.3">
      <c r="A186" s="1">
        <v>45597</v>
      </c>
      <c r="B186" t="s">
        <v>60</v>
      </c>
      <c r="C186" t="s">
        <v>36</v>
      </c>
      <c r="D186">
        <v>2.68</v>
      </c>
      <c r="E186">
        <v>401.03</v>
      </c>
      <c r="F186">
        <v>0.02</v>
      </c>
      <c r="G186">
        <v>0.02</v>
      </c>
      <c r="H186">
        <v>1496</v>
      </c>
      <c r="I186">
        <v>34</v>
      </c>
    </row>
    <row r="187" spans="1:9" x14ac:dyDescent="0.3">
      <c r="A187" s="1">
        <v>45597</v>
      </c>
      <c r="B187" t="s">
        <v>64</v>
      </c>
      <c r="C187" t="s">
        <v>36</v>
      </c>
      <c r="D187">
        <v>2.19</v>
      </c>
      <c r="E187">
        <v>410.19</v>
      </c>
      <c r="F187">
        <v>0.01</v>
      </c>
      <c r="G187">
        <v>0.02</v>
      </c>
      <c r="H187">
        <v>1873</v>
      </c>
      <c r="I187">
        <v>35</v>
      </c>
    </row>
    <row r="188" spans="1:9" x14ac:dyDescent="0.3">
      <c r="A188" s="1">
        <v>45597</v>
      </c>
      <c r="B188" t="s">
        <v>66</v>
      </c>
      <c r="C188" t="s">
        <v>36</v>
      </c>
      <c r="D188">
        <v>1.72</v>
      </c>
      <c r="E188">
        <v>19.88</v>
      </c>
      <c r="F188">
        <v>0.01</v>
      </c>
      <c r="G188">
        <v>0</v>
      </c>
      <c r="H188">
        <v>116</v>
      </c>
      <c r="I188">
        <v>36</v>
      </c>
    </row>
    <row r="189" spans="1:9" x14ac:dyDescent="0.3">
      <c r="A189" s="1">
        <v>45597</v>
      </c>
      <c r="B189" t="s">
        <v>68</v>
      </c>
      <c r="C189" t="s">
        <v>36</v>
      </c>
      <c r="D189">
        <v>1.35</v>
      </c>
      <c r="E189">
        <v>100.86</v>
      </c>
      <c r="F189">
        <v>0.01</v>
      </c>
      <c r="G189">
        <v>0</v>
      </c>
      <c r="H189">
        <v>747</v>
      </c>
      <c r="I189">
        <v>37</v>
      </c>
    </row>
    <row r="190" spans="1:9" x14ac:dyDescent="0.3">
      <c r="A190" s="1">
        <v>45597</v>
      </c>
      <c r="B190" t="s">
        <v>70</v>
      </c>
      <c r="C190" t="s">
        <v>36</v>
      </c>
      <c r="D190">
        <v>1.06</v>
      </c>
      <c r="E190">
        <v>197.17</v>
      </c>
      <c r="F190">
        <v>0.01</v>
      </c>
      <c r="G190">
        <v>0.01</v>
      </c>
      <c r="H190">
        <v>1860</v>
      </c>
      <c r="I190">
        <v>38</v>
      </c>
    </row>
    <row r="191" spans="1:9" x14ac:dyDescent="0.3">
      <c r="A191" s="1">
        <v>45597</v>
      </c>
      <c r="B191" t="s">
        <v>69</v>
      </c>
      <c r="C191" t="s">
        <v>36</v>
      </c>
      <c r="D191">
        <v>1.01</v>
      </c>
      <c r="E191">
        <v>389.1</v>
      </c>
      <c r="F191">
        <v>0.01</v>
      </c>
      <c r="G191">
        <v>0.02</v>
      </c>
      <c r="H191">
        <v>3852</v>
      </c>
      <c r="I191">
        <v>39</v>
      </c>
    </row>
    <row r="192" spans="1:9" x14ac:dyDescent="0.3">
      <c r="A192" s="1">
        <v>45597</v>
      </c>
      <c r="B192" t="s">
        <v>71</v>
      </c>
      <c r="C192" t="s">
        <v>36</v>
      </c>
      <c r="D192">
        <v>0.79</v>
      </c>
      <c r="E192">
        <v>135.44</v>
      </c>
      <c r="F192">
        <v>0.01</v>
      </c>
      <c r="G192">
        <v>0.01</v>
      </c>
      <c r="H192">
        <v>1714</v>
      </c>
      <c r="I192">
        <v>40</v>
      </c>
    </row>
    <row r="193" spans="1:9" x14ac:dyDescent="0.3">
      <c r="A193" s="1">
        <v>45597</v>
      </c>
      <c r="B193" t="s">
        <v>73</v>
      </c>
      <c r="C193" t="s">
        <v>36</v>
      </c>
      <c r="D193">
        <v>0.73</v>
      </c>
      <c r="E193">
        <v>238.56</v>
      </c>
      <c r="F193">
        <v>0</v>
      </c>
      <c r="G193">
        <v>0.01</v>
      </c>
      <c r="H193">
        <v>3268</v>
      </c>
      <c r="I193">
        <v>41</v>
      </c>
    </row>
    <row r="194" spans="1:9" x14ac:dyDescent="0.3">
      <c r="A194" s="1">
        <v>45597</v>
      </c>
      <c r="B194" t="s">
        <v>82</v>
      </c>
      <c r="C194" t="s">
        <v>36</v>
      </c>
      <c r="D194">
        <v>0.69</v>
      </c>
      <c r="E194">
        <v>106.42</v>
      </c>
      <c r="F194">
        <v>0</v>
      </c>
      <c r="G194">
        <v>0</v>
      </c>
      <c r="H194">
        <v>1542</v>
      </c>
      <c r="I194">
        <v>42</v>
      </c>
    </row>
    <row r="195" spans="1:9" x14ac:dyDescent="0.3">
      <c r="A195" s="1">
        <v>45597</v>
      </c>
      <c r="B195" t="s">
        <v>76</v>
      </c>
      <c r="C195" t="s">
        <v>36</v>
      </c>
      <c r="D195">
        <v>0.68</v>
      </c>
      <c r="E195">
        <v>176.45</v>
      </c>
      <c r="F195">
        <v>0</v>
      </c>
      <c r="G195">
        <v>0.01</v>
      </c>
      <c r="H195">
        <v>2595</v>
      </c>
      <c r="I195">
        <v>43</v>
      </c>
    </row>
    <row r="196" spans="1:9" x14ac:dyDescent="0.3">
      <c r="A196" s="1">
        <v>45597</v>
      </c>
      <c r="B196" t="s">
        <v>72</v>
      </c>
      <c r="C196" t="s">
        <v>36</v>
      </c>
      <c r="D196">
        <v>0.66</v>
      </c>
      <c r="E196">
        <v>30.09</v>
      </c>
      <c r="F196">
        <v>0</v>
      </c>
      <c r="G196">
        <v>0</v>
      </c>
      <c r="H196">
        <v>456</v>
      </c>
      <c r="I196">
        <v>44</v>
      </c>
    </row>
    <row r="197" spans="1:9" x14ac:dyDescent="0.3">
      <c r="A197" s="1">
        <v>45597</v>
      </c>
      <c r="B197" t="s">
        <v>74</v>
      </c>
      <c r="C197" t="s">
        <v>36</v>
      </c>
      <c r="D197">
        <v>0.59</v>
      </c>
      <c r="E197">
        <v>167.92</v>
      </c>
      <c r="F197">
        <v>0</v>
      </c>
      <c r="G197">
        <v>0.01</v>
      </c>
      <c r="H197">
        <v>2846</v>
      </c>
      <c r="I197">
        <v>45</v>
      </c>
    </row>
    <row r="198" spans="1:9" x14ac:dyDescent="0.3">
      <c r="A198" s="1">
        <v>45597</v>
      </c>
      <c r="B198" t="s">
        <v>75</v>
      </c>
      <c r="C198" t="s">
        <v>36</v>
      </c>
      <c r="D198">
        <v>0.56999999999999995</v>
      </c>
      <c r="E198">
        <v>191.73</v>
      </c>
      <c r="F198">
        <v>0</v>
      </c>
      <c r="G198">
        <v>0.01</v>
      </c>
      <c r="H198">
        <v>3364</v>
      </c>
      <c r="I198">
        <v>46</v>
      </c>
    </row>
    <row r="199" spans="1:9" x14ac:dyDescent="0.3">
      <c r="A199" s="1">
        <v>45597</v>
      </c>
      <c r="B199" t="s">
        <v>77</v>
      </c>
      <c r="C199" t="s">
        <v>36</v>
      </c>
      <c r="D199">
        <v>0.51</v>
      </c>
      <c r="E199">
        <v>64.81</v>
      </c>
      <c r="F199">
        <v>0</v>
      </c>
      <c r="G199">
        <v>0</v>
      </c>
      <c r="H199">
        <v>1271</v>
      </c>
      <c r="I199">
        <v>47</v>
      </c>
    </row>
    <row r="200" spans="1:9" x14ac:dyDescent="0.3">
      <c r="A200" s="1">
        <v>45597</v>
      </c>
      <c r="B200" t="s">
        <v>79</v>
      </c>
      <c r="C200" t="s">
        <v>36</v>
      </c>
      <c r="D200">
        <v>0.46</v>
      </c>
      <c r="E200">
        <v>156.43</v>
      </c>
      <c r="F200">
        <v>0</v>
      </c>
      <c r="G200">
        <v>0.01</v>
      </c>
      <c r="H200">
        <v>3401</v>
      </c>
      <c r="I200">
        <v>48</v>
      </c>
    </row>
    <row r="201" spans="1:9" x14ac:dyDescent="0.3">
      <c r="A201" s="1">
        <v>45597</v>
      </c>
      <c r="B201" t="s">
        <v>78</v>
      </c>
      <c r="C201" t="s">
        <v>36</v>
      </c>
      <c r="D201">
        <v>0.45</v>
      </c>
      <c r="E201">
        <v>134.47</v>
      </c>
      <c r="F201">
        <v>0</v>
      </c>
      <c r="G201">
        <v>0.01</v>
      </c>
      <c r="H201">
        <v>2988</v>
      </c>
      <c r="I201">
        <v>49</v>
      </c>
    </row>
    <row r="202" spans="1:9" x14ac:dyDescent="0.3">
      <c r="A202" s="1">
        <v>45597</v>
      </c>
      <c r="B202" t="s">
        <v>81</v>
      </c>
      <c r="C202" t="s">
        <v>36</v>
      </c>
      <c r="D202">
        <v>0.38</v>
      </c>
      <c r="E202">
        <v>39.72</v>
      </c>
      <c r="F202">
        <v>0</v>
      </c>
      <c r="G202">
        <v>0</v>
      </c>
      <c r="H202">
        <v>1045</v>
      </c>
      <c r="I202">
        <v>50</v>
      </c>
    </row>
    <row r="203" spans="1:9" x14ac:dyDescent="0.3">
      <c r="A203" s="1">
        <v>45597</v>
      </c>
      <c r="B203" t="s">
        <v>80</v>
      </c>
      <c r="C203" t="s">
        <v>36</v>
      </c>
      <c r="D203">
        <v>0.36</v>
      </c>
      <c r="E203">
        <v>92.32</v>
      </c>
      <c r="F203">
        <v>0</v>
      </c>
      <c r="G203">
        <v>0</v>
      </c>
      <c r="H203">
        <v>2564</v>
      </c>
      <c r="I203">
        <v>51</v>
      </c>
    </row>
    <row r="204" spans="1:9" x14ac:dyDescent="0.3">
      <c r="A204" s="1">
        <v>45597</v>
      </c>
      <c r="B204" t="s">
        <v>100</v>
      </c>
      <c r="C204" t="s">
        <v>36</v>
      </c>
      <c r="D204">
        <v>0.36</v>
      </c>
      <c r="E204">
        <v>356.22</v>
      </c>
      <c r="F204">
        <v>0</v>
      </c>
      <c r="G204">
        <v>0.02</v>
      </c>
      <c r="H204">
        <v>9895</v>
      </c>
      <c r="I204">
        <v>51</v>
      </c>
    </row>
    <row r="205" spans="1:9" x14ac:dyDescent="0.3">
      <c r="A205" s="1">
        <v>45597</v>
      </c>
      <c r="B205" t="s">
        <v>85</v>
      </c>
      <c r="C205" t="s">
        <v>36</v>
      </c>
      <c r="D205">
        <v>0.3</v>
      </c>
      <c r="E205">
        <v>78.83</v>
      </c>
      <c r="F205">
        <v>0</v>
      </c>
      <c r="G205">
        <v>0</v>
      </c>
      <c r="H205">
        <v>2628</v>
      </c>
      <c r="I205">
        <v>53</v>
      </c>
    </row>
    <row r="206" spans="1:9" x14ac:dyDescent="0.3">
      <c r="A206" s="1">
        <v>45597</v>
      </c>
      <c r="B206" t="s">
        <v>99</v>
      </c>
      <c r="C206" t="s">
        <v>36</v>
      </c>
      <c r="D206">
        <v>0.28999999999999998</v>
      </c>
      <c r="E206">
        <v>33.18</v>
      </c>
      <c r="F206">
        <v>0</v>
      </c>
      <c r="G206">
        <v>0</v>
      </c>
      <c r="H206">
        <v>1144</v>
      </c>
      <c r="I206">
        <v>54</v>
      </c>
    </row>
    <row r="207" spans="1:9" x14ac:dyDescent="0.3">
      <c r="A207" s="1">
        <v>45597</v>
      </c>
      <c r="B207" t="s">
        <v>84</v>
      </c>
      <c r="C207" t="s">
        <v>36</v>
      </c>
      <c r="D207">
        <v>0.28000000000000003</v>
      </c>
      <c r="E207">
        <v>66.319999999999993</v>
      </c>
      <c r="F207">
        <v>0</v>
      </c>
      <c r="G207">
        <v>0</v>
      </c>
      <c r="H207">
        <v>2369</v>
      </c>
      <c r="I207">
        <v>55</v>
      </c>
    </row>
    <row r="208" spans="1:9" x14ac:dyDescent="0.3">
      <c r="A208" s="1">
        <v>45597</v>
      </c>
      <c r="B208" t="s">
        <v>89</v>
      </c>
      <c r="C208" t="s">
        <v>36</v>
      </c>
      <c r="D208">
        <v>0.2</v>
      </c>
      <c r="E208">
        <v>55.8</v>
      </c>
      <c r="F208">
        <v>0</v>
      </c>
      <c r="G208">
        <v>0</v>
      </c>
      <c r="H208">
        <v>2790</v>
      </c>
      <c r="I208">
        <v>56</v>
      </c>
    </row>
    <row r="209" spans="1:9" x14ac:dyDescent="0.3">
      <c r="A209" s="1">
        <v>45597</v>
      </c>
      <c r="B209" t="s">
        <v>87</v>
      </c>
      <c r="C209" t="s">
        <v>36</v>
      </c>
      <c r="D209">
        <v>0.18</v>
      </c>
      <c r="E209">
        <v>114.58</v>
      </c>
      <c r="F209">
        <v>0</v>
      </c>
      <c r="G209">
        <v>0.01</v>
      </c>
      <c r="H209">
        <v>6366</v>
      </c>
      <c r="I209">
        <v>57</v>
      </c>
    </row>
    <row r="210" spans="1:9" x14ac:dyDescent="0.3">
      <c r="A210" s="1">
        <v>45597</v>
      </c>
      <c r="B210" t="s">
        <v>86</v>
      </c>
      <c r="C210" t="s">
        <v>36</v>
      </c>
      <c r="D210">
        <v>0.18</v>
      </c>
      <c r="E210">
        <v>49.21</v>
      </c>
      <c r="F210">
        <v>0</v>
      </c>
      <c r="G210">
        <v>0</v>
      </c>
      <c r="H210">
        <v>2734</v>
      </c>
      <c r="I210">
        <v>57</v>
      </c>
    </row>
    <row r="211" spans="1:9" x14ac:dyDescent="0.3">
      <c r="A211" s="1">
        <v>45597</v>
      </c>
      <c r="B211" t="s">
        <v>88</v>
      </c>
      <c r="C211" t="s">
        <v>36</v>
      </c>
      <c r="D211">
        <v>0.18</v>
      </c>
      <c r="E211">
        <v>38.31</v>
      </c>
      <c r="F211">
        <v>0</v>
      </c>
      <c r="G211">
        <v>0</v>
      </c>
      <c r="H211">
        <v>2128</v>
      </c>
      <c r="I211">
        <v>57</v>
      </c>
    </row>
    <row r="212" spans="1:9" x14ac:dyDescent="0.3">
      <c r="A212" s="1">
        <v>45597</v>
      </c>
      <c r="B212" t="s">
        <v>90</v>
      </c>
      <c r="C212" t="s">
        <v>36</v>
      </c>
      <c r="D212">
        <v>0.13</v>
      </c>
      <c r="E212">
        <v>13.25</v>
      </c>
      <c r="F212">
        <v>0</v>
      </c>
      <c r="G212">
        <v>0</v>
      </c>
      <c r="H212">
        <v>1019</v>
      </c>
      <c r="I212">
        <v>60</v>
      </c>
    </row>
    <row r="213" spans="1:9" x14ac:dyDescent="0.3">
      <c r="A213" s="1">
        <v>45597</v>
      </c>
      <c r="B213" t="s">
        <v>109</v>
      </c>
      <c r="C213" t="s">
        <v>36</v>
      </c>
      <c r="D213">
        <v>0.12</v>
      </c>
      <c r="E213">
        <v>14.69</v>
      </c>
      <c r="F213">
        <v>0</v>
      </c>
      <c r="G213">
        <v>0</v>
      </c>
      <c r="H213">
        <v>1224</v>
      </c>
      <c r="I213">
        <v>61</v>
      </c>
    </row>
    <row r="214" spans="1:9" x14ac:dyDescent="0.3">
      <c r="A214" s="1">
        <v>45597</v>
      </c>
      <c r="B214" t="s">
        <v>92</v>
      </c>
      <c r="C214" t="s">
        <v>36</v>
      </c>
      <c r="D214">
        <v>0.09</v>
      </c>
      <c r="E214">
        <v>52.41</v>
      </c>
      <c r="F214">
        <v>0</v>
      </c>
      <c r="G214">
        <v>0</v>
      </c>
      <c r="H214">
        <v>5823</v>
      </c>
      <c r="I214">
        <v>62</v>
      </c>
    </row>
    <row r="215" spans="1:9" x14ac:dyDescent="0.3">
      <c r="A215" s="1">
        <v>45597</v>
      </c>
      <c r="B215" t="s">
        <v>97</v>
      </c>
      <c r="C215" t="s">
        <v>36</v>
      </c>
      <c r="D215">
        <v>0.09</v>
      </c>
      <c r="E215">
        <v>11.7</v>
      </c>
      <c r="F215">
        <v>0</v>
      </c>
      <c r="G215">
        <v>0</v>
      </c>
      <c r="H215">
        <v>1300</v>
      </c>
      <c r="I215">
        <v>62</v>
      </c>
    </row>
    <row r="216" spans="1:9" x14ac:dyDescent="0.3">
      <c r="A216" s="1">
        <v>45597</v>
      </c>
      <c r="B216" t="s">
        <v>83</v>
      </c>
      <c r="C216" t="s">
        <v>36</v>
      </c>
      <c r="D216">
        <v>0.08</v>
      </c>
      <c r="E216">
        <v>0.23</v>
      </c>
      <c r="F216">
        <v>0</v>
      </c>
      <c r="G216">
        <v>0</v>
      </c>
      <c r="H216">
        <v>29</v>
      </c>
      <c r="I216">
        <v>64</v>
      </c>
    </row>
    <row r="217" spans="1:9" x14ac:dyDescent="0.3">
      <c r="A217" s="1">
        <v>45597</v>
      </c>
      <c r="B217" t="s">
        <v>93</v>
      </c>
      <c r="C217" t="s">
        <v>36</v>
      </c>
      <c r="D217">
        <v>0.08</v>
      </c>
      <c r="E217">
        <v>30.01</v>
      </c>
      <c r="F217">
        <v>0</v>
      </c>
      <c r="G217">
        <v>0</v>
      </c>
      <c r="H217">
        <v>3751</v>
      </c>
      <c r="I217">
        <v>64</v>
      </c>
    </row>
    <row r="218" spans="1:9" x14ac:dyDescent="0.3">
      <c r="A218" s="1">
        <v>45597</v>
      </c>
      <c r="B218" t="s">
        <v>91</v>
      </c>
      <c r="C218" t="s">
        <v>36</v>
      </c>
      <c r="D218">
        <v>0.08</v>
      </c>
      <c r="E218">
        <v>5.71</v>
      </c>
      <c r="F218">
        <v>0</v>
      </c>
      <c r="G218">
        <v>0</v>
      </c>
      <c r="H218">
        <v>714</v>
      </c>
      <c r="I218">
        <v>64</v>
      </c>
    </row>
    <row r="219" spans="1:9" x14ac:dyDescent="0.3">
      <c r="A219" s="1">
        <v>45597</v>
      </c>
      <c r="B219" t="s">
        <v>94</v>
      </c>
      <c r="C219" t="s">
        <v>36</v>
      </c>
      <c r="D219">
        <v>0.08</v>
      </c>
      <c r="E219">
        <v>9.73</v>
      </c>
      <c r="F219">
        <v>0</v>
      </c>
      <c r="G219">
        <v>0</v>
      </c>
      <c r="H219">
        <v>1216</v>
      </c>
      <c r="I219">
        <v>64</v>
      </c>
    </row>
    <row r="220" spans="1:9" x14ac:dyDescent="0.3">
      <c r="A220" s="1">
        <v>45597</v>
      </c>
      <c r="B220" t="s">
        <v>95</v>
      </c>
      <c r="C220" t="s">
        <v>36</v>
      </c>
      <c r="D220">
        <v>7.0000000000000007E-2</v>
      </c>
      <c r="E220">
        <v>26.24</v>
      </c>
      <c r="F220">
        <v>0</v>
      </c>
      <c r="G220">
        <v>0</v>
      </c>
      <c r="H220">
        <v>3749</v>
      </c>
      <c r="I220">
        <v>68</v>
      </c>
    </row>
    <row r="221" spans="1:9" x14ac:dyDescent="0.3">
      <c r="A221" s="1">
        <v>45597</v>
      </c>
      <c r="B221" t="s">
        <v>98</v>
      </c>
      <c r="C221" t="s">
        <v>36</v>
      </c>
      <c r="D221">
        <v>7.0000000000000007E-2</v>
      </c>
      <c r="E221">
        <v>8.2899999999999991</v>
      </c>
      <c r="F221">
        <v>0</v>
      </c>
      <c r="G221">
        <v>0</v>
      </c>
      <c r="H221">
        <v>1184</v>
      </c>
      <c r="I221">
        <v>68</v>
      </c>
    </row>
    <row r="222" spans="1:9" x14ac:dyDescent="0.3">
      <c r="A222" s="1">
        <v>45597</v>
      </c>
      <c r="B222" t="s">
        <v>96</v>
      </c>
      <c r="C222" t="s">
        <v>36</v>
      </c>
      <c r="D222">
        <v>7.0000000000000007E-2</v>
      </c>
      <c r="E222">
        <v>23.33</v>
      </c>
      <c r="F222">
        <v>0</v>
      </c>
      <c r="G222">
        <v>0</v>
      </c>
      <c r="H222">
        <v>3333</v>
      </c>
      <c r="I222">
        <v>68</v>
      </c>
    </row>
    <row r="223" spans="1:9" x14ac:dyDescent="0.3">
      <c r="A223" s="1">
        <v>45597</v>
      </c>
      <c r="B223" t="s">
        <v>102</v>
      </c>
      <c r="C223" t="s">
        <v>36</v>
      </c>
      <c r="D223">
        <v>7.0000000000000007E-2</v>
      </c>
      <c r="E223">
        <v>3.75</v>
      </c>
      <c r="F223">
        <v>0</v>
      </c>
      <c r="G223">
        <v>0</v>
      </c>
      <c r="H223">
        <v>536</v>
      </c>
      <c r="I223">
        <v>68</v>
      </c>
    </row>
    <row r="224" spans="1:9" x14ac:dyDescent="0.3">
      <c r="A224" s="1">
        <v>45597</v>
      </c>
      <c r="B224" t="s">
        <v>111</v>
      </c>
      <c r="C224" t="s">
        <v>36</v>
      </c>
      <c r="D224">
        <v>0.06</v>
      </c>
      <c r="E224">
        <v>22.84</v>
      </c>
      <c r="F224">
        <v>0</v>
      </c>
      <c r="G224">
        <v>0</v>
      </c>
      <c r="H224">
        <v>3807</v>
      </c>
      <c r="I224">
        <v>72</v>
      </c>
    </row>
    <row r="225" spans="1:9" x14ac:dyDescent="0.3">
      <c r="A225" s="1">
        <v>45597</v>
      </c>
      <c r="B225" t="s">
        <v>101</v>
      </c>
      <c r="C225" t="s">
        <v>36</v>
      </c>
      <c r="D225">
        <v>0.05</v>
      </c>
      <c r="E225">
        <v>17.82</v>
      </c>
      <c r="F225">
        <v>0</v>
      </c>
      <c r="G225">
        <v>0</v>
      </c>
      <c r="H225">
        <v>3564</v>
      </c>
      <c r="I225">
        <v>73</v>
      </c>
    </row>
    <row r="226" spans="1:9" x14ac:dyDescent="0.3">
      <c r="A226" s="1">
        <v>45597</v>
      </c>
      <c r="B226" t="s">
        <v>105</v>
      </c>
      <c r="C226" t="s">
        <v>36</v>
      </c>
      <c r="D226">
        <v>0.03</v>
      </c>
      <c r="E226">
        <v>25.69</v>
      </c>
      <c r="F226">
        <v>0</v>
      </c>
      <c r="G226">
        <v>0</v>
      </c>
      <c r="H226">
        <v>8563</v>
      </c>
      <c r="I226">
        <v>74</v>
      </c>
    </row>
    <row r="227" spans="1:9" x14ac:dyDescent="0.3">
      <c r="A227" s="1">
        <v>45597</v>
      </c>
      <c r="B227" t="s">
        <v>103</v>
      </c>
      <c r="C227" t="s">
        <v>36</v>
      </c>
      <c r="D227">
        <v>0.03</v>
      </c>
      <c r="E227">
        <v>1.8</v>
      </c>
      <c r="F227">
        <v>0</v>
      </c>
      <c r="G227">
        <v>0</v>
      </c>
      <c r="H227">
        <v>600</v>
      </c>
      <c r="I227">
        <v>74</v>
      </c>
    </row>
    <row r="228" spans="1:9" x14ac:dyDescent="0.3">
      <c r="A228" s="1">
        <v>45597</v>
      </c>
      <c r="B228" t="s">
        <v>110</v>
      </c>
      <c r="C228" t="s">
        <v>36</v>
      </c>
      <c r="D228">
        <v>0.03</v>
      </c>
      <c r="E228">
        <v>1.84</v>
      </c>
      <c r="F228">
        <v>0</v>
      </c>
      <c r="G228">
        <v>0</v>
      </c>
      <c r="H228">
        <v>613</v>
      </c>
      <c r="I228">
        <v>74</v>
      </c>
    </row>
    <row r="229" spans="1:9" x14ac:dyDescent="0.3">
      <c r="A229" s="1">
        <v>45597</v>
      </c>
      <c r="B229" t="s">
        <v>112</v>
      </c>
      <c r="C229" t="s">
        <v>36</v>
      </c>
      <c r="D229">
        <v>0.02</v>
      </c>
      <c r="E229">
        <v>2.77</v>
      </c>
      <c r="F229">
        <v>0</v>
      </c>
      <c r="G229">
        <v>0</v>
      </c>
      <c r="H229">
        <v>1385</v>
      </c>
      <c r="I229">
        <v>77</v>
      </c>
    </row>
    <row r="230" spans="1:9" x14ac:dyDescent="0.3">
      <c r="A230" s="1">
        <v>45597</v>
      </c>
      <c r="B230" t="s">
        <v>104</v>
      </c>
      <c r="C230" t="s">
        <v>36</v>
      </c>
      <c r="D230">
        <v>0.02</v>
      </c>
      <c r="E230">
        <v>10.76</v>
      </c>
      <c r="F230">
        <v>0</v>
      </c>
      <c r="G230">
        <v>0</v>
      </c>
      <c r="H230">
        <v>5380</v>
      </c>
      <c r="I230">
        <v>77</v>
      </c>
    </row>
    <row r="231" spans="1:9" x14ac:dyDescent="0.3">
      <c r="A231" s="1">
        <v>45597</v>
      </c>
      <c r="B231" t="s">
        <v>113</v>
      </c>
      <c r="C231" t="s">
        <v>36</v>
      </c>
      <c r="D231">
        <v>0.02</v>
      </c>
      <c r="E231">
        <v>2.73</v>
      </c>
      <c r="F231">
        <v>0</v>
      </c>
      <c r="G231">
        <v>0</v>
      </c>
      <c r="H231">
        <v>1365</v>
      </c>
      <c r="I231">
        <v>77</v>
      </c>
    </row>
    <row r="232" spans="1:9" x14ac:dyDescent="0.3">
      <c r="A232" s="1">
        <v>45597</v>
      </c>
      <c r="B232" t="s">
        <v>114</v>
      </c>
      <c r="C232" t="s">
        <v>36</v>
      </c>
      <c r="D232">
        <v>0.02</v>
      </c>
      <c r="E232">
        <v>2.67</v>
      </c>
      <c r="F232">
        <v>0</v>
      </c>
      <c r="G232">
        <v>0</v>
      </c>
      <c r="H232">
        <v>1335</v>
      </c>
      <c r="I232">
        <v>77</v>
      </c>
    </row>
    <row r="233" spans="1:9" x14ac:dyDescent="0.3">
      <c r="A233" s="1">
        <v>45627</v>
      </c>
      <c r="B233" t="s">
        <v>32</v>
      </c>
      <c r="C233" t="s">
        <v>32</v>
      </c>
      <c r="D233">
        <v>7984.05</v>
      </c>
      <c r="E233">
        <v>1176300.32</v>
      </c>
      <c r="F233">
        <v>47.72</v>
      </c>
      <c r="G233">
        <v>50.6</v>
      </c>
      <c r="H233">
        <v>1473</v>
      </c>
      <c r="I233">
        <v>1</v>
      </c>
    </row>
    <row r="234" spans="1:9" x14ac:dyDescent="0.3">
      <c r="A234" s="1">
        <v>45627</v>
      </c>
      <c r="B234" t="s">
        <v>33</v>
      </c>
      <c r="C234" t="s">
        <v>33</v>
      </c>
      <c r="D234">
        <v>6140.47</v>
      </c>
      <c r="E234">
        <v>822598.36</v>
      </c>
      <c r="F234">
        <v>36.700000000000003</v>
      </c>
      <c r="G234">
        <v>35.39</v>
      </c>
      <c r="H234">
        <v>1340</v>
      </c>
      <c r="I234">
        <v>2</v>
      </c>
    </row>
    <row r="235" spans="1:9" x14ac:dyDescent="0.3">
      <c r="A235" s="1">
        <v>45627</v>
      </c>
      <c r="B235" t="s">
        <v>34</v>
      </c>
      <c r="C235" t="s">
        <v>34</v>
      </c>
      <c r="D235">
        <v>1150.96</v>
      </c>
      <c r="E235">
        <v>125739.66</v>
      </c>
      <c r="F235">
        <v>6.88</v>
      </c>
      <c r="G235">
        <v>5.41</v>
      </c>
      <c r="H235">
        <v>1092</v>
      </c>
      <c r="I235">
        <v>3</v>
      </c>
    </row>
    <row r="236" spans="1:9" x14ac:dyDescent="0.3">
      <c r="A236" s="1">
        <v>45627</v>
      </c>
      <c r="B236" t="s">
        <v>37</v>
      </c>
      <c r="C236" t="s">
        <v>36</v>
      </c>
      <c r="D236">
        <v>202.53</v>
      </c>
      <c r="E236">
        <v>11317.09</v>
      </c>
      <c r="F236">
        <v>1.21</v>
      </c>
      <c r="G236">
        <v>0.49</v>
      </c>
      <c r="H236">
        <v>559</v>
      </c>
      <c r="I236">
        <v>4</v>
      </c>
    </row>
    <row r="237" spans="1:9" x14ac:dyDescent="0.3">
      <c r="A237" s="1">
        <v>45627</v>
      </c>
      <c r="B237" t="s">
        <v>35</v>
      </c>
      <c r="C237" t="s">
        <v>36</v>
      </c>
      <c r="D237">
        <v>143.07</v>
      </c>
      <c r="E237">
        <v>50979.94</v>
      </c>
      <c r="F237">
        <v>0.86</v>
      </c>
      <c r="G237">
        <v>2.19</v>
      </c>
      <c r="H237">
        <v>3563</v>
      </c>
      <c r="I237">
        <v>5</v>
      </c>
    </row>
    <row r="238" spans="1:9" x14ac:dyDescent="0.3">
      <c r="A238" s="1">
        <v>45627</v>
      </c>
      <c r="B238" t="s">
        <v>38</v>
      </c>
      <c r="C238" t="s">
        <v>36</v>
      </c>
      <c r="D238">
        <v>128.36000000000001</v>
      </c>
      <c r="E238">
        <v>6159.9</v>
      </c>
      <c r="F238">
        <v>0.77</v>
      </c>
      <c r="G238">
        <v>0.26</v>
      </c>
      <c r="H238">
        <v>480</v>
      </c>
      <c r="I238">
        <v>6</v>
      </c>
    </row>
    <row r="239" spans="1:9" x14ac:dyDescent="0.3">
      <c r="A239" s="1">
        <v>45627</v>
      </c>
      <c r="B239" t="s">
        <v>47</v>
      </c>
      <c r="C239" t="s">
        <v>36</v>
      </c>
      <c r="D239">
        <v>101.81</v>
      </c>
      <c r="E239">
        <v>3866.39</v>
      </c>
      <c r="F239">
        <v>0.61</v>
      </c>
      <c r="G239">
        <v>0.17</v>
      </c>
      <c r="H239">
        <v>380</v>
      </c>
      <c r="I239">
        <v>7</v>
      </c>
    </row>
    <row r="240" spans="1:9" x14ac:dyDescent="0.3">
      <c r="A240" s="1">
        <v>45627</v>
      </c>
      <c r="B240" t="s">
        <v>39</v>
      </c>
      <c r="C240" t="s">
        <v>36</v>
      </c>
      <c r="D240">
        <v>91.94</v>
      </c>
      <c r="E240">
        <v>9330.9699999999993</v>
      </c>
      <c r="F240">
        <v>0.55000000000000004</v>
      </c>
      <c r="G240">
        <v>0.4</v>
      </c>
      <c r="H240">
        <v>1015</v>
      </c>
      <c r="I240">
        <v>8</v>
      </c>
    </row>
    <row r="241" spans="1:9" x14ac:dyDescent="0.3">
      <c r="A241" s="1">
        <v>45627</v>
      </c>
      <c r="B241" t="s">
        <v>40</v>
      </c>
      <c r="C241" t="s">
        <v>36</v>
      </c>
      <c r="D241">
        <v>75.739999999999995</v>
      </c>
      <c r="E241">
        <v>870.68</v>
      </c>
      <c r="F241">
        <v>0.45</v>
      </c>
      <c r="G241">
        <v>0.04</v>
      </c>
      <c r="H241">
        <v>115</v>
      </c>
      <c r="I241">
        <v>9</v>
      </c>
    </row>
    <row r="242" spans="1:9" x14ac:dyDescent="0.3">
      <c r="A242" s="1">
        <v>45627</v>
      </c>
      <c r="B242" t="s">
        <v>41</v>
      </c>
      <c r="C242" t="s">
        <v>36</v>
      </c>
      <c r="D242">
        <v>61.86</v>
      </c>
      <c r="E242">
        <v>21904.55</v>
      </c>
      <c r="F242">
        <v>0.37</v>
      </c>
      <c r="G242">
        <v>0.94</v>
      </c>
      <c r="H242">
        <v>3541</v>
      </c>
      <c r="I242">
        <v>10</v>
      </c>
    </row>
    <row r="243" spans="1:9" x14ac:dyDescent="0.3">
      <c r="A243" s="1">
        <v>45627</v>
      </c>
      <c r="B243" t="s">
        <v>42</v>
      </c>
      <c r="C243" t="s">
        <v>36</v>
      </c>
      <c r="D243">
        <v>57.85</v>
      </c>
      <c r="E243">
        <v>4348.1899999999996</v>
      </c>
      <c r="F243">
        <v>0.35</v>
      </c>
      <c r="G243">
        <v>0.19</v>
      </c>
      <c r="H243">
        <v>752</v>
      </c>
      <c r="I243">
        <v>11</v>
      </c>
    </row>
    <row r="244" spans="1:9" x14ac:dyDescent="0.3">
      <c r="A244" s="1">
        <v>45627</v>
      </c>
      <c r="B244" t="s">
        <v>43</v>
      </c>
      <c r="C244" t="s">
        <v>36</v>
      </c>
      <c r="D244">
        <v>52.06</v>
      </c>
      <c r="E244">
        <v>7286.24</v>
      </c>
      <c r="F244">
        <v>0.31</v>
      </c>
      <c r="G244">
        <v>0.31</v>
      </c>
      <c r="H244">
        <v>1400</v>
      </c>
      <c r="I244">
        <v>12</v>
      </c>
    </row>
    <row r="245" spans="1:9" x14ac:dyDescent="0.3">
      <c r="A245" s="1">
        <v>45627</v>
      </c>
      <c r="B245" t="s">
        <v>44</v>
      </c>
      <c r="C245" t="s">
        <v>36</v>
      </c>
      <c r="D245">
        <v>41.84</v>
      </c>
      <c r="E245">
        <v>12526.57</v>
      </c>
      <c r="F245">
        <v>0.25</v>
      </c>
      <c r="G245">
        <v>0.54</v>
      </c>
      <c r="H245">
        <v>2994</v>
      </c>
      <c r="I245">
        <v>13</v>
      </c>
    </row>
    <row r="246" spans="1:9" x14ac:dyDescent="0.3">
      <c r="A246" s="1">
        <v>45627</v>
      </c>
      <c r="B246" t="s">
        <v>45</v>
      </c>
      <c r="C246" t="s">
        <v>36</v>
      </c>
      <c r="D246">
        <v>40.98</v>
      </c>
      <c r="E246">
        <v>9216.9599999999991</v>
      </c>
      <c r="F246">
        <v>0.24</v>
      </c>
      <c r="G246">
        <v>0.4</v>
      </c>
      <c r="H246">
        <v>2249</v>
      </c>
      <c r="I246">
        <v>14</v>
      </c>
    </row>
    <row r="247" spans="1:9" x14ac:dyDescent="0.3">
      <c r="A247" s="1">
        <v>45627</v>
      </c>
      <c r="B247" t="s">
        <v>46</v>
      </c>
      <c r="C247" t="s">
        <v>36</v>
      </c>
      <c r="D247">
        <v>30.22</v>
      </c>
      <c r="E247">
        <v>9170.75</v>
      </c>
      <c r="F247">
        <v>0.18</v>
      </c>
      <c r="G247">
        <v>0.39</v>
      </c>
      <c r="H247">
        <v>3035</v>
      </c>
      <c r="I247">
        <v>15</v>
      </c>
    </row>
    <row r="248" spans="1:9" x14ac:dyDescent="0.3">
      <c r="A248" s="1">
        <v>45627</v>
      </c>
      <c r="B248" t="s">
        <v>48</v>
      </c>
      <c r="C248" t="s">
        <v>36</v>
      </c>
      <c r="D248">
        <v>20.29</v>
      </c>
      <c r="E248">
        <v>1497.32</v>
      </c>
      <c r="F248">
        <v>0.12</v>
      </c>
      <c r="G248">
        <v>0.06</v>
      </c>
      <c r="H248">
        <v>738</v>
      </c>
      <c r="I248">
        <v>16</v>
      </c>
    </row>
    <row r="249" spans="1:9" x14ac:dyDescent="0.3">
      <c r="A249" s="1">
        <v>45627</v>
      </c>
      <c r="B249" t="s">
        <v>49</v>
      </c>
      <c r="C249" t="s">
        <v>36</v>
      </c>
      <c r="D249">
        <v>20.260000000000002</v>
      </c>
      <c r="E249">
        <v>3478.58</v>
      </c>
      <c r="F249">
        <v>0.12</v>
      </c>
      <c r="G249">
        <v>0.15</v>
      </c>
      <c r="H249">
        <v>1717</v>
      </c>
      <c r="I249">
        <v>17</v>
      </c>
    </row>
    <row r="250" spans="1:9" x14ac:dyDescent="0.3">
      <c r="A250" s="1">
        <v>45627</v>
      </c>
      <c r="B250" t="s">
        <v>50</v>
      </c>
      <c r="C250" t="s">
        <v>36</v>
      </c>
      <c r="D250">
        <v>13.78</v>
      </c>
      <c r="E250">
        <v>9341.27</v>
      </c>
      <c r="F250">
        <v>0.08</v>
      </c>
      <c r="G250">
        <v>0.4</v>
      </c>
      <c r="H250">
        <v>6779</v>
      </c>
      <c r="I250">
        <v>18</v>
      </c>
    </row>
    <row r="251" spans="1:9" x14ac:dyDescent="0.3">
      <c r="A251" s="1">
        <v>45627</v>
      </c>
      <c r="B251" t="s">
        <v>51</v>
      </c>
      <c r="C251" t="s">
        <v>36</v>
      </c>
      <c r="D251">
        <v>12.75</v>
      </c>
      <c r="E251">
        <v>606.35</v>
      </c>
      <c r="F251">
        <v>0.08</v>
      </c>
      <c r="G251">
        <v>0.03</v>
      </c>
      <c r="H251">
        <v>476</v>
      </c>
      <c r="I251">
        <v>19</v>
      </c>
    </row>
    <row r="252" spans="1:9" x14ac:dyDescent="0.3">
      <c r="A252" s="1">
        <v>45627</v>
      </c>
      <c r="B252" t="s">
        <v>53</v>
      </c>
      <c r="C252" t="s">
        <v>36</v>
      </c>
      <c r="D252">
        <v>12.06</v>
      </c>
      <c r="E252">
        <v>882.04</v>
      </c>
      <c r="F252">
        <v>7.0000000000000007E-2</v>
      </c>
      <c r="G252">
        <v>0.04</v>
      </c>
      <c r="H252">
        <v>731</v>
      </c>
      <c r="I252">
        <v>20</v>
      </c>
    </row>
    <row r="253" spans="1:9" x14ac:dyDescent="0.3">
      <c r="A253" s="1">
        <v>45627</v>
      </c>
      <c r="B253" t="s">
        <v>54</v>
      </c>
      <c r="C253" t="s">
        <v>36</v>
      </c>
      <c r="D253">
        <v>12.05</v>
      </c>
      <c r="E253">
        <v>3411.38</v>
      </c>
      <c r="F253">
        <v>7.0000000000000007E-2</v>
      </c>
      <c r="G253">
        <v>0.15</v>
      </c>
      <c r="H253">
        <v>2831</v>
      </c>
      <c r="I253">
        <v>21</v>
      </c>
    </row>
    <row r="254" spans="1:9" x14ac:dyDescent="0.3">
      <c r="A254" s="1">
        <v>45627</v>
      </c>
      <c r="B254" t="s">
        <v>57</v>
      </c>
      <c r="C254" t="s">
        <v>36</v>
      </c>
      <c r="D254">
        <v>10.76</v>
      </c>
      <c r="E254">
        <v>1337.1</v>
      </c>
      <c r="F254">
        <v>0.06</v>
      </c>
      <c r="G254">
        <v>0.06</v>
      </c>
      <c r="H254">
        <v>1243</v>
      </c>
      <c r="I254">
        <v>22</v>
      </c>
    </row>
    <row r="255" spans="1:9" x14ac:dyDescent="0.3">
      <c r="A255" s="1">
        <v>45627</v>
      </c>
      <c r="B255" t="s">
        <v>55</v>
      </c>
      <c r="C255" t="s">
        <v>36</v>
      </c>
      <c r="D255">
        <v>9.27</v>
      </c>
      <c r="E255">
        <v>2103.6</v>
      </c>
      <c r="F255">
        <v>0.06</v>
      </c>
      <c r="G255">
        <v>0.09</v>
      </c>
      <c r="H255">
        <v>2269</v>
      </c>
      <c r="I255">
        <v>23</v>
      </c>
    </row>
    <row r="256" spans="1:9" x14ac:dyDescent="0.3">
      <c r="A256" s="1">
        <v>45627</v>
      </c>
      <c r="B256" t="s">
        <v>56</v>
      </c>
      <c r="C256" t="s">
        <v>36</v>
      </c>
      <c r="D256">
        <v>8.59</v>
      </c>
      <c r="E256">
        <v>614.74</v>
      </c>
      <c r="F256">
        <v>0.05</v>
      </c>
      <c r="G256">
        <v>0.03</v>
      </c>
      <c r="H256">
        <v>716</v>
      </c>
      <c r="I256">
        <v>24</v>
      </c>
    </row>
    <row r="257" spans="1:9" x14ac:dyDescent="0.3">
      <c r="A257" s="1">
        <v>45627</v>
      </c>
      <c r="B257" t="s">
        <v>52</v>
      </c>
      <c r="C257" t="s">
        <v>36</v>
      </c>
      <c r="D257">
        <v>8.5500000000000007</v>
      </c>
      <c r="E257">
        <v>1652.53</v>
      </c>
      <c r="F257">
        <v>0.05</v>
      </c>
      <c r="G257">
        <v>7.0000000000000007E-2</v>
      </c>
      <c r="H257">
        <v>1933</v>
      </c>
      <c r="I257">
        <v>25</v>
      </c>
    </row>
    <row r="258" spans="1:9" x14ac:dyDescent="0.3">
      <c r="A258" s="1">
        <v>45627</v>
      </c>
      <c r="B258" t="s">
        <v>67</v>
      </c>
      <c r="C258" t="s">
        <v>36</v>
      </c>
      <c r="D258">
        <v>8.3699999999999992</v>
      </c>
      <c r="E258">
        <v>1511.43</v>
      </c>
      <c r="F258">
        <v>0.05</v>
      </c>
      <c r="G258">
        <v>7.0000000000000007E-2</v>
      </c>
      <c r="H258">
        <v>1806</v>
      </c>
      <c r="I258">
        <v>26</v>
      </c>
    </row>
    <row r="259" spans="1:9" x14ac:dyDescent="0.3">
      <c r="A259" s="1">
        <v>45627</v>
      </c>
      <c r="B259" t="s">
        <v>59</v>
      </c>
      <c r="C259" t="s">
        <v>36</v>
      </c>
      <c r="D259">
        <v>6.41</v>
      </c>
      <c r="E259">
        <v>910.03</v>
      </c>
      <c r="F259">
        <v>0.04</v>
      </c>
      <c r="G259">
        <v>0.04</v>
      </c>
      <c r="H259">
        <v>1420</v>
      </c>
      <c r="I259">
        <v>27</v>
      </c>
    </row>
    <row r="260" spans="1:9" x14ac:dyDescent="0.3">
      <c r="A260" s="1">
        <v>45627</v>
      </c>
      <c r="B260" t="s">
        <v>65</v>
      </c>
      <c r="C260" t="s">
        <v>36</v>
      </c>
      <c r="D260">
        <v>6.2</v>
      </c>
      <c r="E260">
        <v>391.63</v>
      </c>
      <c r="F260">
        <v>0.04</v>
      </c>
      <c r="G260">
        <v>0.02</v>
      </c>
      <c r="H260">
        <v>632</v>
      </c>
      <c r="I260">
        <v>28</v>
      </c>
    </row>
    <row r="261" spans="1:9" x14ac:dyDescent="0.3">
      <c r="A261" s="1">
        <v>45627</v>
      </c>
      <c r="B261" t="s">
        <v>58</v>
      </c>
      <c r="C261" t="s">
        <v>36</v>
      </c>
      <c r="D261">
        <v>3.94</v>
      </c>
      <c r="E261">
        <v>673.09</v>
      </c>
      <c r="F261">
        <v>0.02</v>
      </c>
      <c r="G261">
        <v>0.03</v>
      </c>
      <c r="H261">
        <v>1708</v>
      </c>
      <c r="I261">
        <v>29</v>
      </c>
    </row>
    <row r="262" spans="1:9" x14ac:dyDescent="0.3">
      <c r="A262" s="1">
        <v>45627</v>
      </c>
      <c r="B262" t="s">
        <v>62</v>
      </c>
      <c r="C262" t="s">
        <v>36</v>
      </c>
      <c r="D262">
        <v>3.46</v>
      </c>
      <c r="E262">
        <v>287.81</v>
      </c>
      <c r="F262">
        <v>0.02</v>
      </c>
      <c r="G262">
        <v>0.01</v>
      </c>
      <c r="H262">
        <v>832</v>
      </c>
      <c r="I262">
        <v>30</v>
      </c>
    </row>
    <row r="263" spans="1:9" x14ac:dyDescent="0.3">
      <c r="A263" s="1">
        <v>45627</v>
      </c>
      <c r="B263" t="s">
        <v>60</v>
      </c>
      <c r="C263" t="s">
        <v>36</v>
      </c>
      <c r="D263">
        <v>3.37</v>
      </c>
      <c r="E263">
        <v>296.88</v>
      </c>
      <c r="F263">
        <v>0.02</v>
      </c>
      <c r="G263">
        <v>0.01</v>
      </c>
      <c r="H263">
        <v>881</v>
      </c>
      <c r="I263">
        <v>31</v>
      </c>
    </row>
    <row r="264" spans="1:9" x14ac:dyDescent="0.3">
      <c r="A264" s="1">
        <v>45627</v>
      </c>
      <c r="B264" t="s">
        <v>63</v>
      </c>
      <c r="C264" t="s">
        <v>36</v>
      </c>
      <c r="D264">
        <v>3.32</v>
      </c>
      <c r="E264">
        <v>792.81</v>
      </c>
      <c r="F264">
        <v>0.02</v>
      </c>
      <c r="G264">
        <v>0.03</v>
      </c>
      <c r="H264">
        <v>2388</v>
      </c>
      <c r="I264">
        <v>32</v>
      </c>
    </row>
    <row r="265" spans="1:9" x14ac:dyDescent="0.3">
      <c r="A265" s="1">
        <v>45627</v>
      </c>
      <c r="B265" t="s">
        <v>108</v>
      </c>
      <c r="C265" t="s">
        <v>36</v>
      </c>
      <c r="D265">
        <v>3.32</v>
      </c>
      <c r="E265">
        <v>412.1</v>
      </c>
      <c r="F265">
        <v>0.02</v>
      </c>
      <c r="G265">
        <v>0.02</v>
      </c>
      <c r="H265">
        <v>1241</v>
      </c>
      <c r="I265">
        <v>32</v>
      </c>
    </row>
    <row r="266" spans="1:9" x14ac:dyDescent="0.3">
      <c r="A266" s="1">
        <v>45627</v>
      </c>
      <c r="B266" t="s">
        <v>61</v>
      </c>
      <c r="C266" t="s">
        <v>36</v>
      </c>
      <c r="D266">
        <v>3.2</v>
      </c>
      <c r="E266">
        <v>848.14</v>
      </c>
      <c r="F266">
        <v>0.02</v>
      </c>
      <c r="G266">
        <v>0.04</v>
      </c>
      <c r="H266">
        <v>2650</v>
      </c>
      <c r="I266">
        <v>34</v>
      </c>
    </row>
    <row r="267" spans="1:9" x14ac:dyDescent="0.3">
      <c r="A267" s="1">
        <v>45627</v>
      </c>
      <c r="B267" t="s">
        <v>64</v>
      </c>
      <c r="C267" t="s">
        <v>36</v>
      </c>
      <c r="D267">
        <v>2.21</v>
      </c>
      <c r="E267">
        <v>435.17</v>
      </c>
      <c r="F267">
        <v>0.01</v>
      </c>
      <c r="G267">
        <v>0.02</v>
      </c>
      <c r="H267">
        <v>1969</v>
      </c>
      <c r="I267">
        <v>35</v>
      </c>
    </row>
    <row r="268" spans="1:9" x14ac:dyDescent="0.3">
      <c r="A268" s="1">
        <v>45627</v>
      </c>
      <c r="B268" t="s">
        <v>68</v>
      </c>
      <c r="C268" t="s">
        <v>36</v>
      </c>
      <c r="D268">
        <v>1.45</v>
      </c>
      <c r="E268">
        <v>85.46</v>
      </c>
      <c r="F268">
        <v>0.01</v>
      </c>
      <c r="G268">
        <v>0</v>
      </c>
      <c r="H268">
        <v>589</v>
      </c>
      <c r="I268">
        <v>36</v>
      </c>
    </row>
    <row r="269" spans="1:9" x14ac:dyDescent="0.3">
      <c r="A269" s="1">
        <v>45627</v>
      </c>
      <c r="B269" t="s">
        <v>70</v>
      </c>
      <c r="C269" t="s">
        <v>36</v>
      </c>
      <c r="D269">
        <v>1.25</v>
      </c>
      <c r="E269">
        <v>221.54</v>
      </c>
      <c r="F269">
        <v>0.01</v>
      </c>
      <c r="G269">
        <v>0.01</v>
      </c>
      <c r="H269">
        <v>1772</v>
      </c>
      <c r="I269">
        <v>37</v>
      </c>
    </row>
    <row r="270" spans="1:9" x14ac:dyDescent="0.3">
      <c r="A270" s="1">
        <v>45627</v>
      </c>
      <c r="B270" t="s">
        <v>71</v>
      </c>
      <c r="C270" t="s">
        <v>36</v>
      </c>
      <c r="D270">
        <v>1.1299999999999999</v>
      </c>
      <c r="E270">
        <v>169.43</v>
      </c>
      <c r="F270">
        <v>0.01</v>
      </c>
      <c r="G270">
        <v>0.01</v>
      </c>
      <c r="H270">
        <v>1499</v>
      </c>
      <c r="I270">
        <v>38</v>
      </c>
    </row>
    <row r="271" spans="1:9" x14ac:dyDescent="0.3">
      <c r="A271" s="1">
        <v>45627</v>
      </c>
      <c r="B271" t="s">
        <v>69</v>
      </c>
      <c r="C271" t="s">
        <v>36</v>
      </c>
      <c r="D271">
        <v>1.1200000000000001</v>
      </c>
      <c r="E271">
        <v>431.5</v>
      </c>
      <c r="F271">
        <v>0.01</v>
      </c>
      <c r="G271">
        <v>0.02</v>
      </c>
      <c r="H271">
        <v>3853</v>
      </c>
      <c r="I271">
        <v>39</v>
      </c>
    </row>
    <row r="272" spans="1:9" x14ac:dyDescent="0.3">
      <c r="A272" s="1">
        <v>45627</v>
      </c>
      <c r="B272" t="s">
        <v>75</v>
      </c>
      <c r="C272" t="s">
        <v>36</v>
      </c>
      <c r="D272">
        <v>1.07</v>
      </c>
      <c r="E272">
        <v>219.66</v>
      </c>
      <c r="F272">
        <v>0.01</v>
      </c>
      <c r="G272">
        <v>0.01</v>
      </c>
      <c r="H272">
        <v>2053</v>
      </c>
      <c r="I272">
        <v>40</v>
      </c>
    </row>
    <row r="273" spans="1:9" x14ac:dyDescent="0.3">
      <c r="A273" s="1">
        <v>45627</v>
      </c>
      <c r="B273" t="s">
        <v>66</v>
      </c>
      <c r="C273" t="s">
        <v>36</v>
      </c>
      <c r="D273">
        <v>1.01</v>
      </c>
      <c r="E273">
        <v>13.49</v>
      </c>
      <c r="F273">
        <v>0.01</v>
      </c>
      <c r="G273">
        <v>0</v>
      </c>
      <c r="H273">
        <v>134</v>
      </c>
      <c r="I273">
        <v>41</v>
      </c>
    </row>
    <row r="274" spans="1:9" x14ac:dyDescent="0.3">
      <c r="A274" s="1">
        <v>45627</v>
      </c>
      <c r="B274" t="s">
        <v>83</v>
      </c>
      <c r="C274" t="s">
        <v>36</v>
      </c>
      <c r="D274">
        <v>0.9</v>
      </c>
      <c r="E274">
        <v>86.33</v>
      </c>
      <c r="F274">
        <v>0.01</v>
      </c>
      <c r="G274">
        <v>0</v>
      </c>
      <c r="H274">
        <v>959</v>
      </c>
      <c r="I274">
        <v>42</v>
      </c>
    </row>
    <row r="275" spans="1:9" x14ac:dyDescent="0.3">
      <c r="A275" s="1">
        <v>45627</v>
      </c>
      <c r="B275" t="s">
        <v>72</v>
      </c>
      <c r="C275" t="s">
        <v>36</v>
      </c>
      <c r="D275">
        <v>0.83</v>
      </c>
      <c r="E275">
        <v>37.24</v>
      </c>
      <c r="F275">
        <v>0</v>
      </c>
      <c r="G275">
        <v>0</v>
      </c>
      <c r="H275">
        <v>449</v>
      </c>
      <c r="I275">
        <v>43</v>
      </c>
    </row>
    <row r="276" spans="1:9" x14ac:dyDescent="0.3">
      <c r="A276" s="1">
        <v>45627</v>
      </c>
      <c r="B276" t="s">
        <v>82</v>
      </c>
      <c r="C276" t="s">
        <v>36</v>
      </c>
      <c r="D276">
        <v>0.81</v>
      </c>
      <c r="E276">
        <v>134.02000000000001</v>
      </c>
      <c r="F276">
        <v>0</v>
      </c>
      <c r="G276">
        <v>0.01</v>
      </c>
      <c r="H276">
        <v>1655</v>
      </c>
      <c r="I276">
        <v>44</v>
      </c>
    </row>
    <row r="277" spans="1:9" x14ac:dyDescent="0.3">
      <c r="A277" s="1">
        <v>45627</v>
      </c>
      <c r="B277" t="s">
        <v>73</v>
      </c>
      <c r="C277" t="s">
        <v>36</v>
      </c>
      <c r="D277">
        <v>0.76</v>
      </c>
      <c r="E277">
        <v>255.63</v>
      </c>
      <c r="F277">
        <v>0</v>
      </c>
      <c r="G277">
        <v>0.01</v>
      </c>
      <c r="H277">
        <v>3364</v>
      </c>
      <c r="I277">
        <v>45</v>
      </c>
    </row>
    <row r="278" spans="1:9" x14ac:dyDescent="0.3">
      <c r="A278" s="1">
        <v>45627</v>
      </c>
      <c r="B278" t="s">
        <v>76</v>
      </c>
      <c r="C278" t="s">
        <v>36</v>
      </c>
      <c r="D278">
        <v>0.74</v>
      </c>
      <c r="E278">
        <v>195.01</v>
      </c>
      <c r="F278">
        <v>0</v>
      </c>
      <c r="G278">
        <v>0.01</v>
      </c>
      <c r="H278">
        <v>2635</v>
      </c>
      <c r="I278">
        <v>46</v>
      </c>
    </row>
    <row r="279" spans="1:9" x14ac:dyDescent="0.3">
      <c r="A279" s="1">
        <v>45627</v>
      </c>
      <c r="B279" t="s">
        <v>74</v>
      </c>
      <c r="C279" t="s">
        <v>36</v>
      </c>
      <c r="D279">
        <v>0.63</v>
      </c>
      <c r="E279">
        <v>181.57</v>
      </c>
      <c r="F279">
        <v>0</v>
      </c>
      <c r="G279">
        <v>0.01</v>
      </c>
      <c r="H279">
        <v>2882</v>
      </c>
      <c r="I279">
        <v>47</v>
      </c>
    </row>
    <row r="280" spans="1:9" x14ac:dyDescent="0.3">
      <c r="A280" s="1">
        <v>45627</v>
      </c>
      <c r="B280" t="s">
        <v>81</v>
      </c>
      <c r="C280" t="s">
        <v>36</v>
      </c>
      <c r="D280">
        <v>0.61</v>
      </c>
      <c r="E280">
        <v>57.11</v>
      </c>
      <c r="F280">
        <v>0</v>
      </c>
      <c r="G280">
        <v>0</v>
      </c>
      <c r="H280">
        <v>936</v>
      </c>
      <c r="I280">
        <v>48</v>
      </c>
    </row>
    <row r="281" spans="1:9" x14ac:dyDescent="0.3">
      <c r="A281" s="1">
        <v>45627</v>
      </c>
      <c r="B281" t="s">
        <v>79</v>
      </c>
      <c r="C281" t="s">
        <v>36</v>
      </c>
      <c r="D281">
        <v>0.56000000000000005</v>
      </c>
      <c r="E281">
        <v>170.77</v>
      </c>
      <c r="F281">
        <v>0</v>
      </c>
      <c r="G281">
        <v>0.01</v>
      </c>
      <c r="H281">
        <v>3049</v>
      </c>
      <c r="I281">
        <v>49</v>
      </c>
    </row>
    <row r="282" spans="1:9" x14ac:dyDescent="0.3">
      <c r="A282" s="1">
        <v>45627</v>
      </c>
      <c r="B282" t="s">
        <v>77</v>
      </c>
      <c r="C282" t="s">
        <v>36</v>
      </c>
      <c r="D282">
        <v>0.55000000000000004</v>
      </c>
      <c r="E282">
        <v>72.040000000000006</v>
      </c>
      <c r="F282">
        <v>0</v>
      </c>
      <c r="G282">
        <v>0</v>
      </c>
      <c r="H282">
        <v>1310</v>
      </c>
      <c r="I282">
        <v>50</v>
      </c>
    </row>
    <row r="283" spans="1:9" x14ac:dyDescent="0.3">
      <c r="A283" s="1">
        <v>45627</v>
      </c>
      <c r="B283" t="s">
        <v>100</v>
      </c>
      <c r="C283" t="s">
        <v>36</v>
      </c>
      <c r="D283">
        <v>0.5</v>
      </c>
      <c r="E283">
        <v>549.1</v>
      </c>
      <c r="F283">
        <v>0</v>
      </c>
      <c r="G283">
        <v>0.02</v>
      </c>
      <c r="H283">
        <v>10982</v>
      </c>
      <c r="I283">
        <v>51</v>
      </c>
    </row>
    <row r="284" spans="1:9" x14ac:dyDescent="0.3">
      <c r="A284" s="1">
        <v>45627</v>
      </c>
      <c r="B284" t="s">
        <v>78</v>
      </c>
      <c r="C284" t="s">
        <v>36</v>
      </c>
      <c r="D284">
        <v>0.49</v>
      </c>
      <c r="E284">
        <v>151.24</v>
      </c>
      <c r="F284">
        <v>0</v>
      </c>
      <c r="G284">
        <v>0.01</v>
      </c>
      <c r="H284">
        <v>3087</v>
      </c>
      <c r="I284">
        <v>52</v>
      </c>
    </row>
    <row r="285" spans="1:9" x14ac:dyDescent="0.3">
      <c r="A285" s="1">
        <v>45627</v>
      </c>
      <c r="B285" t="s">
        <v>99</v>
      </c>
      <c r="C285" t="s">
        <v>36</v>
      </c>
      <c r="D285">
        <v>0.41</v>
      </c>
      <c r="E285">
        <v>21.49</v>
      </c>
      <c r="F285">
        <v>0</v>
      </c>
      <c r="G285">
        <v>0</v>
      </c>
      <c r="H285">
        <v>524</v>
      </c>
      <c r="I285">
        <v>53</v>
      </c>
    </row>
    <row r="286" spans="1:9" x14ac:dyDescent="0.3">
      <c r="A286" s="1">
        <v>45627</v>
      </c>
      <c r="B286" t="s">
        <v>80</v>
      </c>
      <c r="C286" t="s">
        <v>36</v>
      </c>
      <c r="D286">
        <v>0.34</v>
      </c>
      <c r="E286">
        <v>87.05</v>
      </c>
      <c r="F286">
        <v>0</v>
      </c>
      <c r="G286">
        <v>0</v>
      </c>
      <c r="H286">
        <v>2560</v>
      </c>
      <c r="I286">
        <v>54</v>
      </c>
    </row>
    <row r="287" spans="1:9" x14ac:dyDescent="0.3">
      <c r="A287" s="1">
        <v>45627</v>
      </c>
      <c r="B287" t="s">
        <v>84</v>
      </c>
      <c r="C287" t="s">
        <v>36</v>
      </c>
      <c r="D287">
        <v>0.32</v>
      </c>
      <c r="E287">
        <v>76.33</v>
      </c>
      <c r="F287">
        <v>0</v>
      </c>
      <c r="G287">
        <v>0</v>
      </c>
      <c r="H287">
        <v>2385</v>
      </c>
      <c r="I287">
        <v>55</v>
      </c>
    </row>
    <row r="288" spans="1:9" x14ac:dyDescent="0.3">
      <c r="A288" s="1">
        <v>45627</v>
      </c>
      <c r="B288" t="s">
        <v>85</v>
      </c>
      <c r="C288" t="s">
        <v>36</v>
      </c>
      <c r="D288">
        <v>0.3</v>
      </c>
      <c r="E288">
        <v>81.2</v>
      </c>
      <c r="F288">
        <v>0</v>
      </c>
      <c r="G288">
        <v>0</v>
      </c>
      <c r="H288">
        <v>2707</v>
      </c>
      <c r="I288">
        <v>56</v>
      </c>
    </row>
    <row r="289" spans="1:9" x14ac:dyDescent="0.3">
      <c r="A289" s="1">
        <v>45627</v>
      </c>
      <c r="B289" t="s">
        <v>86</v>
      </c>
      <c r="C289" t="s">
        <v>36</v>
      </c>
      <c r="D289">
        <v>0.23</v>
      </c>
      <c r="E289">
        <v>59.7</v>
      </c>
      <c r="F289">
        <v>0</v>
      </c>
      <c r="G289">
        <v>0</v>
      </c>
      <c r="H289">
        <v>2596</v>
      </c>
      <c r="I289">
        <v>57</v>
      </c>
    </row>
    <row r="290" spans="1:9" x14ac:dyDescent="0.3">
      <c r="A290" s="1">
        <v>45627</v>
      </c>
      <c r="B290" t="s">
        <v>89</v>
      </c>
      <c r="C290" t="s">
        <v>36</v>
      </c>
      <c r="D290">
        <v>0.22</v>
      </c>
      <c r="E290">
        <v>68.38</v>
      </c>
      <c r="F290">
        <v>0</v>
      </c>
      <c r="G290">
        <v>0</v>
      </c>
      <c r="H290">
        <v>3108</v>
      </c>
      <c r="I290">
        <v>58</v>
      </c>
    </row>
    <row r="291" spans="1:9" x14ac:dyDescent="0.3">
      <c r="A291" s="1">
        <v>45627</v>
      </c>
      <c r="B291" t="s">
        <v>88</v>
      </c>
      <c r="C291" t="s">
        <v>36</v>
      </c>
      <c r="D291">
        <v>0.22</v>
      </c>
      <c r="E291">
        <v>47.38</v>
      </c>
      <c r="F291">
        <v>0</v>
      </c>
      <c r="G291">
        <v>0</v>
      </c>
      <c r="H291">
        <v>2154</v>
      </c>
      <c r="I291">
        <v>58</v>
      </c>
    </row>
    <row r="292" spans="1:9" x14ac:dyDescent="0.3">
      <c r="A292" s="1">
        <v>45627</v>
      </c>
      <c r="B292" t="s">
        <v>87</v>
      </c>
      <c r="C292" t="s">
        <v>36</v>
      </c>
      <c r="D292">
        <v>0.2</v>
      </c>
      <c r="E292">
        <v>123.19</v>
      </c>
      <c r="F292">
        <v>0</v>
      </c>
      <c r="G292">
        <v>0.01</v>
      </c>
      <c r="H292">
        <v>6160</v>
      </c>
      <c r="I292">
        <v>60</v>
      </c>
    </row>
    <row r="293" spans="1:9" x14ac:dyDescent="0.3">
      <c r="A293" s="1">
        <v>45627</v>
      </c>
      <c r="B293" t="s">
        <v>109</v>
      </c>
      <c r="C293" t="s">
        <v>36</v>
      </c>
      <c r="D293">
        <v>0.19</v>
      </c>
      <c r="E293">
        <v>20.5</v>
      </c>
      <c r="F293">
        <v>0</v>
      </c>
      <c r="G293">
        <v>0</v>
      </c>
      <c r="H293">
        <v>1079</v>
      </c>
      <c r="I293">
        <v>61</v>
      </c>
    </row>
    <row r="294" spans="1:9" x14ac:dyDescent="0.3">
      <c r="A294" s="1">
        <v>45627</v>
      </c>
      <c r="B294" t="s">
        <v>90</v>
      </c>
      <c r="C294" t="s">
        <v>36</v>
      </c>
      <c r="D294">
        <v>0.14000000000000001</v>
      </c>
      <c r="E294">
        <v>12.18</v>
      </c>
      <c r="F294">
        <v>0</v>
      </c>
      <c r="G294">
        <v>0</v>
      </c>
      <c r="H294">
        <v>870</v>
      </c>
      <c r="I294">
        <v>62</v>
      </c>
    </row>
    <row r="295" spans="1:9" x14ac:dyDescent="0.3">
      <c r="A295" s="1">
        <v>45627</v>
      </c>
      <c r="B295" t="s">
        <v>98</v>
      </c>
      <c r="C295" t="s">
        <v>36</v>
      </c>
      <c r="D295">
        <v>0.11</v>
      </c>
      <c r="E295">
        <v>13.25</v>
      </c>
      <c r="F295">
        <v>0</v>
      </c>
      <c r="G295">
        <v>0</v>
      </c>
      <c r="H295">
        <v>1205</v>
      </c>
      <c r="I295">
        <v>63</v>
      </c>
    </row>
    <row r="296" spans="1:9" x14ac:dyDescent="0.3">
      <c r="A296" s="1">
        <v>45627</v>
      </c>
      <c r="B296" t="s">
        <v>97</v>
      </c>
      <c r="C296" t="s">
        <v>36</v>
      </c>
      <c r="D296">
        <v>0.1</v>
      </c>
      <c r="E296">
        <v>12.52</v>
      </c>
      <c r="F296">
        <v>0</v>
      </c>
      <c r="G296">
        <v>0</v>
      </c>
      <c r="H296">
        <v>1252</v>
      </c>
      <c r="I296">
        <v>64</v>
      </c>
    </row>
    <row r="297" spans="1:9" x14ac:dyDescent="0.3">
      <c r="A297" s="1">
        <v>45627</v>
      </c>
      <c r="B297" t="s">
        <v>92</v>
      </c>
      <c r="C297" t="s">
        <v>36</v>
      </c>
      <c r="D297">
        <v>0.1</v>
      </c>
      <c r="E297">
        <v>56</v>
      </c>
      <c r="F297">
        <v>0</v>
      </c>
      <c r="G297">
        <v>0</v>
      </c>
      <c r="H297">
        <v>5600</v>
      </c>
      <c r="I297">
        <v>64</v>
      </c>
    </row>
    <row r="298" spans="1:9" x14ac:dyDescent="0.3">
      <c r="A298" s="1">
        <v>45627</v>
      </c>
      <c r="B298" t="s">
        <v>93</v>
      </c>
      <c r="C298" t="s">
        <v>36</v>
      </c>
      <c r="D298">
        <v>0.1</v>
      </c>
      <c r="E298">
        <v>35.31</v>
      </c>
      <c r="F298">
        <v>0</v>
      </c>
      <c r="G298">
        <v>0</v>
      </c>
      <c r="H298">
        <v>3531</v>
      </c>
      <c r="I298">
        <v>64</v>
      </c>
    </row>
    <row r="299" spans="1:9" x14ac:dyDescent="0.3">
      <c r="A299" s="1">
        <v>45627</v>
      </c>
      <c r="B299" t="s">
        <v>102</v>
      </c>
      <c r="C299" t="s">
        <v>36</v>
      </c>
      <c r="D299">
        <v>0.1</v>
      </c>
      <c r="E299">
        <v>4.8</v>
      </c>
      <c r="F299">
        <v>0</v>
      </c>
      <c r="G299">
        <v>0</v>
      </c>
      <c r="H299">
        <v>480</v>
      </c>
      <c r="I299">
        <v>64</v>
      </c>
    </row>
    <row r="300" spans="1:9" x14ac:dyDescent="0.3">
      <c r="A300" s="1">
        <v>45627</v>
      </c>
      <c r="B300" t="s">
        <v>91</v>
      </c>
      <c r="C300" t="s">
        <v>36</v>
      </c>
      <c r="D300">
        <v>0.09</v>
      </c>
      <c r="E300">
        <v>6.16</v>
      </c>
      <c r="F300">
        <v>0</v>
      </c>
      <c r="G300">
        <v>0</v>
      </c>
      <c r="H300">
        <v>684</v>
      </c>
      <c r="I300">
        <v>68</v>
      </c>
    </row>
    <row r="301" spans="1:9" x14ac:dyDescent="0.3">
      <c r="A301" s="1">
        <v>45627</v>
      </c>
      <c r="B301" t="s">
        <v>115</v>
      </c>
      <c r="C301" t="s">
        <v>36</v>
      </c>
      <c r="D301">
        <v>0.08</v>
      </c>
      <c r="E301">
        <v>28.5</v>
      </c>
      <c r="F301">
        <v>0</v>
      </c>
      <c r="G301">
        <v>0</v>
      </c>
      <c r="H301">
        <v>3563</v>
      </c>
      <c r="I301">
        <v>69</v>
      </c>
    </row>
    <row r="302" spans="1:9" x14ac:dyDescent="0.3">
      <c r="A302" s="1">
        <v>45627</v>
      </c>
      <c r="B302" t="s">
        <v>95</v>
      </c>
      <c r="C302" t="s">
        <v>36</v>
      </c>
      <c r="D302">
        <v>0.08</v>
      </c>
      <c r="E302">
        <v>28.56</v>
      </c>
      <c r="F302">
        <v>0</v>
      </c>
      <c r="G302">
        <v>0</v>
      </c>
      <c r="H302">
        <v>3570</v>
      </c>
      <c r="I302">
        <v>69</v>
      </c>
    </row>
    <row r="303" spans="1:9" x14ac:dyDescent="0.3">
      <c r="A303" s="1">
        <v>45627</v>
      </c>
      <c r="B303" t="s">
        <v>96</v>
      </c>
      <c r="C303" t="s">
        <v>36</v>
      </c>
      <c r="D303">
        <v>0.08</v>
      </c>
      <c r="E303">
        <v>25.95</v>
      </c>
      <c r="F303">
        <v>0</v>
      </c>
      <c r="G303">
        <v>0</v>
      </c>
      <c r="H303">
        <v>3244</v>
      </c>
      <c r="I303">
        <v>69</v>
      </c>
    </row>
    <row r="304" spans="1:9" x14ac:dyDescent="0.3">
      <c r="A304" s="1">
        <v>45627</v>
      </c>
      <c r="B304" t="s">
        <v>101</v>
      </c>
      <c r="C304" t="s">
        <v>36</v>
      </c>
      <c r="D304">
        <v>7.0000000000000007E-2</v>
      </c>
      <c r="E304">
        <v>24.98</v>
      </c>
      <c r="F304">
        <v>0</v>
      </c>
      <c r="G304">
        <v>0</v>
      </c>
      <c r="H304">
        <v>3569</v>
      </c>
      <c r="I304">
        <v>72</v>
      </c>
    </row>
    <row r="305" spans="1:9" x14ac:dyDescent="0.3">
      <c r="A305" s="1">
        <v>45627</v>
      </c>
      <c r="B305" t="s">
        <v>94</v>
      </c>
      <c r="C305" t="s">
        <v>36</v>
      </c>
      <c r="D305">
        <v>7.0000000000000007E-2</v>
      </c>
      <c r="E305">
        <v>8.36</v>
      </c>
      <c r="F305">
        <v>0</v>
      </c>
      <c r="G305">
        <v>0</v>
      </c>
      <c r="H305">
        <v>1194</v>
      </c>
      <c r="I305">
        <v>72</v>
      </c>
    </row>
    <row r="306" spans="1:9" x14ac:dyDescent="0.3">
      <c r="A306" s="1">
        <v>45627</v>
      </c>
      <c r="B306" t="s">
        <v>113</v>
      </c>
      <c r="C306" t="s">
        <v>36</v>
      </c>
      <c r="D306">
        <v>0.06</v>
      </c>
      <c r="E306">
        <v>5.97</v>
      </c>
      <c r="F306">
        <v>0</v>
      </c>
      <c r="G306">
        <v>0</v>
      </c>
      <c r="H306">
        <v>995</v>
      </c>
      <c r="I306">
        <v>74</v>
      </c>
    </row>
    <row r="307" spans="1:9" x14ac:dyDescent="0.3">
      <c r="A307" s="1">
        <v>45627</v>
      </c>
      <c r="B307" t="s">
        <v>112</v>
      </c>
      <c r="C307" t="s">
        <v>36</v>
      </c>
      <c r="D307">
        <v>0.06</v>
      </c>
      <c r="E307">
        <v>4.42</v>
      </c>
      <c r="F307">
        <v>0</v>
      </c>
      <c r="G307">
        <v>0</v>
      </c>
      <c r="H307">
        <v>737</v>
      </c>
      <c r="I307">
        <v>74</v>
      </c>
    </row>
    <row r="308" spans="1:9" x14ac:dyDescent="0.3">
      <c r="A308" s="1">
        <v>45627</v>
      </c>
      <c r="B308" t="s">
        <v>114</v>
      </c>
      <c r="C308" t="s">
        <v>36</v>
      </c>
      <c r="D308">
        <v>0.05</v>
      </c>
      <c r="E308">
        <v>6.27</v>
      </c>
      <c r="F308">
        <v>0</v>
      </c>
      <c r="G308">
        <v>0</v>
      </c>
      <c r="H308">
        <v>1254</v>
      </c>
      <c r="I308">
        <v>76</v>
      </c>
    </row>
    <row r="309" spans="1:9" x14ac:dyDescent="0.3">
      <c r="A309" s="1">
        <v>45627</v>
      </c>
      <c r="B309" t="s">
        <v>105</v>
      </c>
      <c r="C309" t="s">
        <v>36</v>
      </c>
      <c r="D309">
        <v>0.04</v>
      </c>
      <c r="E309">
        <v>28.67</v>
      </c>
      <c r="F309">
        <v>0</v>
      </c>
      <c r="G309">
        <v>0</v>
      </c>
      <c r="H309">
        <v>7168</v>
      </c>
      <c r="I309">
        <v>77</v>
      </c>
    </row>
    <row r="310" spans="1:9" x14ac:dyDescent="0.3">
      <c r="A310" s="1">
        <v>45627</v>
      </c>
      <c r="B310" t="s">
        <v>116</v>
      </c>
      <c r="C310" t="s">
        <v>36</v>
      </c>
      <c r="D310">
        <v>0.04</v>
      </c>
      <c r="E310">
        <v>12.79</v>
      </c>
      <c r="F310">
        <v>0</v>
      </c>
      <c r="G310">
        <v>0</v>
      </c>
      <c r="H310">
        <v>3198</v>
      </c>
      <c r="I310">
        <v>77</v>
      </c>
    </row>
    <row r="311" spans="1:9" x14ac:dyDescent="0.3">
      <c r="A311" s="1">
        <v>45627</v>
      </c>
      <c r="B311" t="s">
        <v>111</v>
      </c>
      <c r="C311" t="s">
        <v>36</v>
      </c>
      <c r="D311">
        <v>0.03</v>
      </c>
      <c r="E311">
        <v>31.68</v>
      </c>
      <c r="F311">
        <v>0</v>
      </c>
      <c r="G311">
        <v>0</v>
      </c>
      <c r="H311">
        <v>10560</v>
      </c>
      <c r="I311">
        <v>79</v>
      </c>
    </row>
    <row r="312" spans="1:9" x14ac:dyDescent="0.3">
      <c r="A312" s="1">
        <v>45627</v>
      </c>
      <c r="B312" t="s">
        <v>110</v>
      </c>
      <c r="C312" t="s">
        <v>36</v>
      </c>
      <c r="D312">
        <v>0.03</v>
      </c>
      <c r="E312">
        <v>2.4300000000000002</v>
      </c>
      <c r="F312">
        <v>0</v>
      </c>
      <c r="G312">
        <v>0</v>
      </c>
      <c r="H312">
        <v>810</v>
      </c>
      <c r="I312">
        <v>79</v>
      </c>
    </row>
    <row r="313" spans="1:9" x14ac:dyDescent="0.3">
      <c r="A313" s="1">
        <v>45627</v>
      </c>
      <c r="B313" t="s">
        <v>103</v>
      </c>
      <c r="C313" t="s">
        <v>36</v>
      </c>
      <c r="D313">
        <v>0.02</v>
      </c>
      <c r="E313">
        <v>1.72</v>
      </c>
      <c r="F313">
        <v>0</v>
      </c>
      <c r="G313">
        <v>0</v>
      </c>
      <c r="H313">
        <v>860</v>
      </c>
      <c r="I313">
        <v>81</v>
      </c>
    </row>
    <row r="314" spans="1:9" x14ac:dyDescent="0.3">
      <c r="A314" s="1">
        <v>45627</v>
      </c>
      <c r="B314" t="s">
        <v>104</v>
      </c>
      <c r="C314" t="s">
        <v>36</v>
      </c>
      <c r="D314">
        <v>0.02</v>
      </c>
      <c r="E314">
        <v>7.78</v>
      </c>
      <c r="F314">
        <v>0</v>
      </c>
      <c r="G314">
        <v>0</v>
      </c>
      <c r="H314">
        <v>3890</v>
      </c>
      <c r="I314">
        <v>81</v>
      </c>
    </row>
    <row r="315" spans="1:9" x14ac:dyDescent="0.3">
      <c r="A315" s="1">
        <v>45658</v>
      </c>
      <c r="B315" t="s">
        <v>32</v>
      </c>
      <c r="C315" t="s">
        <v>32</v>
      </c>
      <c r="D315">
        <v>8102.44</v>
      </c>
      <c r="E315">
        <v>1191303.98</v>
      </c>
      <c r="F315">
        <v>47.67</v>
      </c>
      <c r="G315">
        <v>50.74</v>
      </c>
      <c r="H315">
        <v>1470</v>
      </c>
      <c r="I315">
        <v>1</v>
      </c>
    </row>
    <row r="316" spans="1:9" x14ac:dyDescent="0.3">
      <c r="A316" s="1">
        <v>45658</v>
      </c>
      <c r="B316" t="s">
        <v>33</v>
      </c>
      <c r="C316" t="s">
        <v>33</v>
      </c>
      <c r="D316">
        <v>6183.91</v>
      </c>
      <c r="E316">
        <v>826845.07</v>
      </c>
      <c r="F316">
        <v>36.380000000000003</v>
      </c>
      <c r="G316">
        <v>35.21</v>
      </c>
      <c r="H316">
        <v>1337</v>
      </c>
      <c r="I316">
        <v>2</v>
      </c>
    </row>
    <row r="317" spans="1:9" x14ac:dyDescent="0.3">
      <c r="A317" s="1">
        <v>45658</v>
      </c>
      <c r="B317" t="s">
        <v>34</v>
      </c>
      <c r="C317" t="s">
        <v>34</v>
      </c>
      <c r="D317">
        <v>1152.3399999999999</v>
      </c>
      <c r="E317">
        <v>126313.45</v>
      </c>
      <c r="F317">
        <v>6.78</v>
      </c>
      <c r="G317">
        <v>5.38</v>
      </c>
      <c r="H317">
        <v>1096</v>
      </c>
      <c r="I317">
        <v>3</v>
      </c>
    </row>
    <row r="318" spans="1:9" x14ac:dyDescent="0.3">
      <c r="A318" s="1">
        <v>45658</v>
      </c>
      <c r="B318" t="s">
        <v>37</v>
      </c>
      <c r="C318" t="s">
        <v>36</v>
      </c>
      <c r="D318">
        <v>242.83</v>
      </c>
      <c r="E318">
        <v>13221.33</v>
      </c>
      <c r="F318">
        <v>1.43</v>
      </c>
      <c r="G318">
        <v>0.56000000000000005</v>
      </c>
      <c r="H318">
        <v>544</v>
      </c>
      <c r="I318">
        <v>4</v>
      </c>
    </row>
    <row r="319" spans="1:9" x14ac:dyDescent="0.3">
      <c r="A319" s="1">
        <v>45658</v>
      </c>
      <c r="B319" t="s">
        <v>35</v>
      </c>
      <c r="C319" t="s">
        <v>36</v>
      </c>
      <c r="D319">
        <v>137.44</v>
      </c>
      <c r="E319">
        <v>49482.95</v>
      </c>
      <c r="F319">
        <v>0.81</v>
      </c>
      <c r="G319">
        <v>2.11</v>
      </c>
      <c r="H319">
        <v>3600</v>
      </c>
      <c r="I319">
        <v>5</v>
      </c>
    </row>
    <row r="320" spans="1:9" x14ac:dyDescent="0.3">
      <c r="A320" s="1">
        <v>45658</v>
      </c>
      <c r="B320" t="s">
        <v>38</v>
      </c>
      <c r="C320" t="s">
        <v>36</v>
      </c>
      <c r="D320">
        <v>126.62</v>
      </c>
      <c r="E320">
        <v>7769.17</v>
      </c>
      <c r="F320">
        <v>0.74</v>
      </c>
      <c r="G320">
        <v>0.33</v>
      </c>
      <c r="H320">
        <v>614</v>
      </c>
      <c r="I320">
        <v>6</v>
      </c>
    </row>
    <row r="321" spans="1:9" x14ac:dyDescent="0.3">
      <c r="A321" s="1">
        <v>45658</v>
      </c>
      <c r="B321" t="s">
        <v>47</v>
      </c>
      <c r="C321" t="s">
        <v>36</v>
      </c>
      <c r="D321">
        <v>124.83</v>
      </c>
      <c r="E321">
        <v>4565.57</v>
      </c>
      <c r="F321">
        <v>0.73</v>
      </c>
      <c r="G321">
        <v>0.19</v>
      </c>
      <c r="H321">
        <v>366</v>
      </c>
      <c r="I321">
        <v>7</v>
      </c>
    </row>
    <row r="322" spans="1:9" x14ac:dyDescent="0.3">
      <c r="A322" s="1">
        <v>45658</v>
      </c>
      <c r="B322" t="s">
        <v>39</v>
      </c>
      <c r="C322" t="s">
        <v>36</v>
      </c>
      <c r="D322">
        <v>99.95</v>
      </c>
      <c r="E322">
        <v>9843.4699999999993</v>
      </c>
      <c r="F322">
        <v>0.59</v>
      </c>
      <c r="G322">
        <v>0.42</v>
      </c>
      <c r="H322">
        <v>985</v>
      </c>
      <c r="I322">
        <v>8</v>
      </c>
    </row>
    <row r="323" spans="1:9" x14ac:dyDescent="0.3">
      <c r="A323" s="1">
        <v>45658</v>
      </c>
      <c r="B323" t="s">
        <v>40</v>
      </c>
      <c r="C323" t="s">
        <v>36</v>
      </c>
      <c r="D323">
        <v>79.010000000000005</v>
      </c>
      <c r="E323">
        <v>896.25</v>
      </c>
      <c r="F323">
        <v>0.46</v>
      </c>
      <c r="G323">
        <v>0.04</v>
      </c>
      <c r="H323">
        <v>113</v>
      </c>
      <c r="I323">
        <v>9</v>
      </c>
    </row>
    <row r="324" spans="1:9" x14ac:dyDescent="0.3">
      <c r="A324" s="1">
        <v>45658</v>
      </c>
      <c r="B324" t="s">
        <v>42</v>
      </c>
      <c r="C324" t="s">
        <v>36</v>
      </c>
      <c r="D324">
        <v>60.99</v>
      </c>
      <c r="E324">
        <v>4550.41</v>
      </c>
      <c r="F324">
        <v>0.36</v>
      </c>
      <c r="G324">
        <v>0.19</v>
      </c>
      <c r="H324">
        <v>746</v>
      </c>
      <c r="I324">
        <v>10</v>
      </c>
    </row>
    <row r="325" spans="1:9" x14ac:dyDescent="0.3">
      <c r="A325" s="1">
        <v>45658</v>
      </c>
      <c r="B325" t="s">
        <v>41</v>
      </c>
      <c r="C325" t="s">
        <v>36</v>
      </c>
      <c r="D325">
        <v>58.23</v>
      </c>
      <c r="E325">
        <v>18928.62</v>
      </c>
      <c r="F325">
        <v>0.34</v>
      </c>
      <c r="G325">
        <v>0.81</v>
      </c>
      <c r="H325">
        <v>3251</v>
      </c>
      <c r="I325">
        <v>11</v>
      </c>
    </row>
    <row r="326" spans="1:9" x14ac:dyDescent="0.3">
      <c r="A326" s="1">
        <v>45658</v>
      </c>
      <c r="B326" t="s">
        <v>43</v>
      </c>
      <c r="C326" t="s">
        <v>36</v>
      </c>
      <c r="D326">
        <v>53.71</v>
      </c>
      <c r="E326">
        <v>7489.75</v>
      </c>
      <c r="F326">
        <v>0.32</v>
      </c>
      <c r="G326">
        <v>0.32</v>
      </c>
      <c r="H326">
        <v>1394</v>
      </c>
      <c r="I326">
        <v>12</v>
      </c>
    </row>
    <row r="327" spans="1:9" x14ac:dyDescent="0.3">
      <c r="A327" s="1">
        <v>45658</v>
      </c>
      <c r="B327" t="s">
        <v>44</v>
      </c>
      <c r="C327" t="s">
        <v>36</v>
      </c>
      <c r="D327">
        <v>49.6</v>
      </c>
      <c r="E327">
        <v>11086.42</v>
      </c>
      <c r="F327">
        <v>0.28999999999999998</v>
      </c>
      <c r="G327">
        <v>0.47</v>
      </c>
      <c r="H327">
        <v>2235</v>
      </c>
      <c r="I327">
        <v>13</v>
      </c>
    </row>
    <row r="328" spans="1:9" x14ac:dyDescent="0.3">
      <c r="A328" s="1">
        <v>45658</v>
      </c>
      <c r="B328" t="s">
        <v>45</v>
      </c>
      <c r="C328" t="s">
        <v>36</v>
      </c>
      <c r="D328">
        <v>41.57</v>
      </c>
      <c r="E328">
        <v>8877.26</v>
      </c>
      <c r="F328">
        <v>0.24</v>
      </c>
      <c r="G328">
        <v>0.38</v>
      </c>
      <c r="H328">
        <v>2135</v>
      </c>
      <c r="I328">
        <v>14</v>
      </c>
    </row>
    <row r="329" spans="1:9" x14ac:dyDescent="0.3">
      <c r="A329" s="1">
        <v>45658</v>
      </c>
      <c r="B329" t="s">
        <v>46</v>
      </c>
      <c r="C329" t="s">
        <v>36</v>
      </c>
      <c r="D329">
        <v>33.880000000000003</v>
      </c>
      <c r="E329">
        <v>9333.77</v>
      </c>
      <c r="F329">
        <v>0.2</v>
      </c>
      <c r="G329">
        <v>0.4</v>
      </c>
      <c r="H329">
        <v>2755</v>
      </c>
      <c r="I329">
        <v>15</v>
      </c>
    </row>
    <row r="330" spans="1:9" x14ac:dyDescent="0.3">
      <c r="A330" s="1">
        <v>45658</v>
      </c>
      <c r="B330" t="s">
        <v>49</v>
      </c>
      <c r="C330" t="s">
        <v>36</v>
      </c>
      <c r="D330">
        <v>23.66</v>
      </c>
      <c r="E330">
        <v>3811.43</v>
      </c>
      <c r="F330">
        <v>0.14000000000000001</v>
      </c>
      <c r="G330">
        <v>0.16</v>
      </c>
      <c r="H330">
        <v>1611</v>
      </c>
      <c r="I330">
        <v>16</v>
      </c>
    </row>
    <row r="331" spans="1:9" x14ac:dyDescent="0.3">
      <c r="A331" s="1">
        <v>45658</v>
      </c>
      <c r="B331" t="s">
        <v>48</v>
      </c>
      <c r="C331" t="s">
        <v>36</v>
      </c>
      <c r="D331">
        <v>20.96</v>
      </c>
      <c r="E331">
        <v>1498.83</v>
      </c>
      <c r="F331">
        <v>0.12</v>
      </c>
      <c r="G331">
        <v>0.06</v>
      </c>
      <c r="H331">
        <v>715</v>
      </c>
      <c r="I331">
        <v>17</v>
      </c>
    </row>
    <row r="332" spans="1:9" x14ac:dyDescent="0.3">
      <c r="A332" s="1">
        <v>45658</v>
      </c>
      <c r="B332" t="s">
        <v>50</v>
      </c>
      <c r="C332" t="s">
        <v>36</v>
      </c>
      <c r="D332">
        <v>15.4</v>
      </c>
      <c r="E332">
        <v>11200.31</v>
      </c>
      <c r="F332">
        <v>0.09</v>
      </c>
      <c r="G332">
        <v>0.48</v>
      </c>
      <c r="H332">
        <v>7273</v>
      </c>
      <c r="I332">
        <v>18</v>
      </c>
    </row>
    <row r="333" spans="1:9" x14ac:dyDescent="0.3">
      <c r="A333" s="1">
        <v>45658</v>
      </c>
      <c r="B333" t="s">
        <v>57</v>
      </c>
      <c r="C333" t="s">
        <v>36</v>
      </c>
      <c r="D333">
        <v>12.57</v>
      </c>
      <c r="E333">
        <v>1509.59</v>
      </c>
      <c r="F333">
        <v>7.0000000000000007E-2</v>
      </c>
      <c r="G333">
        <v>0.06</v>
      </c>
      <c r="H333">
        <v>1201</v>
      </c>
      <c r="I333">
        <v>19</v>
      </c>
    </row>
    <row r="334" spans="1:9" x14ac:dyDescent="0.3">
      <c r="A334" s="1">
        <v>45658</v>
      </c>
      <c r="B334" t="s">
        <v>54</v>
      </c>
      <c r="C334" t="s">
        <v>36</v>
      </c>
      <c r="D334">
        <v>12.49</v>
      </c>
      <c r="E334">
        <v>3515.63</v>
      </c>
      <c r="F334">
        <v>7.0000000000000007E-2</v>
      </c>
      <c r="G334">
        <v>0.15</v>
      </c>
      <c r="H334">
        <v>2815</v>
      </c>
      <c r="I334">
        <v>20</v>
      </c>
    </row>
    <row r="335" spans="1:9" x14ac:dyDescent="0.3">
      <c r="A335" s="1">
        <v>45658</v>
      </c>
      <c r="B335" t="s">
        <v>55</v>
      </c>
      <c r="C335" t="s">
        <v>36</v>
      </c>
      <c r="D335">
        <v>11.77</v>
      </c>
      <c r="E335">
        <v>2283.04</v>
      </c>
      <c r="F335">
        <v>7.0000000000000007E-2</v>
      </c>
      <c r="G335">
        <v>0.1</v>
      </c>
      <c r="H335">
        <v>1940</v>
      </c>
      <c r="I335">
        <v>21</v>
      </c>
    </row>
    <row r="336" spans="1:9" x14ac:dyDescent="0.3">
      <c r="A336" s="1">
        <v>45658</v>
      </c>
      <c r="B336" t="s">
        <v>67</v>
      </c>
      <c r="C336" t="s">
        <v>36</v>
      </c>
      <c r="D336">
        <v>8.6199999999999992</v>
      </c>
      <c r="E336">
        <v>1418.15</v>
      </c>
      <c r="F336">
        <v>0.05</v>
      </c>
      <c r="G336">
        <v>0.06</v>
      </c>
      <c r="H336">
        <v>1645</v>
      </c>
      <c r="I336">
        <v>22</v>
      </c>
    </row>
    <row r="337" spans="1:9" x14ac:dyDescent="0.3">
      <c r="A337" s="1">
        <v>45658</v>
      </c>
      <c r="B337" t="s">
        <v>56</v>
      </c>
      <c r="C337" t="s">
        <v>36</v>
      </c>
      <c r="D337">
        <v>8.57</v>
      </c>
      <c r="E337">
        <v>608.41</v>
      </c>
      <c r="F337">
        <v>0.05</v>
      </c>
      <c r="G337">
        <v>0.03</v>
      </c>
      <c r="H337">
        <v>710</v>
      </c>
      <c r="I337">
        <v>23</v>
      </c>
    </row>
    <row r="338" spans="1:9" x14ac:dyDescent="0.3">
      <c r="A338" s="1">
        <v>45658</v>
      </c>
      <c r="B338" t="s">
        <v>52</v>
      </c>
      <c r="C338" t="s">
        <v>36</v>
      </c>
      <c r="D338">
        <v>8.19</v>
      </c>
      <c r="E338">
        <v>1649.36</v>
      </c>
      <c r="F338">
        <v>0.05</v>
      </c>
      <c r="G338">
        <v>7.0000000000000007E-2</v>
      </c>
      <c r="H338">
        <v>2014</v>
      </c>
      <c r="I338">
        <v>24</v>
      </c>
    </row>
    <row r="339" spans="1:9" x14ac:dyDescent="0.3">
      <c r="A339" s="1">
        <v>45658</v>
      </c>
      <c r="B339" t="s">
        <v>65</v>
      </c>
      <c r="C339" t="s">
        <v>36</v>
      </c>
      <c r="D339">
        <v>8.1</v>
      </c>
      <c r="E339">
        <v>431.96</v>
      </c>
      <c r="F339">
        <v>0.05</v>
      </c>
      <c r="G339">
        <v>0.02</v>
      </c>
      <c r="H339">
        <v>533</v>
      </c>
      <c r="I339">
        <v>25</v>
      </c>
    </row>
    <row r="340" spans="1:9" x14ac:dyDescent="0.3">
      <c r="A340" s="1">
        <v>45658</v>
      </c>
      <c r="B340" t="s">
        <v>53</v>
      </c>
      <c r="C340" t="s">
        <v>36</v>
      </c>
      <c r="D340">
        <v>7.88</v>
      </c>
      <c r="E340">
        <v>569.95000000000005</v>
      </c>
      <c r="F340">
        <v>0.05</v>
      </c>
      <c r="G340">
        <v>0.02</v>
      </c>
      <c r="H340">
        <v>723</v>
      </c>
      <c r="I340">
        <v>26</v>
      </c>
    </row>
    <row r="341" spans="1:9" x14ac:dyDescent="0.3">
      <c r="A341" s="1">
        <v>45658</v>
      </c>
      <c r="B341" t="s">
        <v>51</v>
      </c>
      <c r="C341" t="s">
        <v>36</v>
      </c>
      <c r="D341">
        <v>7.58</v>
      </c>
      <c r="E341">
        <v>393.64</v>
      </c>
      <c r="F341">
        <v>0.04</v>
      </c>
      <c r="G341">
        <v>0.02</v>
      </c>
      <c r="H341">
        <v>519</v>
      </c>
      <c r="I341">
        <v>27</v>
      </c>
    </row>
    <row r="342" spans="1:9" x14ac:dyDescent="0.3">
      <c r="A342" s="1">
        <v>45658</v>
      </c>
      <c r="B342" t="s">
        <v>59</v>
      </c>
      <c r="C342" t="s">
        <v>36</v>
      </c>
      <c r="D342">
        <v>6.31</v>
      </c>
      <c r="E342">
        <v>913.95</v>
      </c>
      <c r="F342">
        <v>0.04</v>
      </c>
      <c r="G342">
        <v>0.04</v>
      </c>
      <c r="H342">
        <v>1448</v>
      </c>
      <c r="I342">
        <v>28</v>
      </c>
    </row>
    <row r="343" spans="1:9" x14ac:dyDescent="0.3">
      <c r="A343" s="1">
        <v>45658</v>
      </c>
      <c r="B343" t="s">
        <v>58</v>
      </c>
      <c r="C343" t="s">
        <v>36</v>
      </c>
      <c r="D343">
        <v>4.3</v>
      </c>
      <c r="E343">
        <v>744.89</v>
      </c>
      <c r="F343">
        <v>0.03</v>
      </c>
      <c r="G343">
        <v>0.03</v>
      </c>
      <c r="H343">
        <v>1732</v>
      </c>
      <c r="I343">
        <v>29</v>
      </c>
    </row>
    <row r="344" spans="1:9" x14ac:dyDescent="0.3">
      <c r="A344" s="1">
        <v>45658</v>
      </c>
      <c r="B344" t="s">
        <v>62</v>
      </c>
      <c r="C344" t="s">
        <v>36</v>
      </c>
      <c r="D344">
        <v>3.66</v>
      </c>
      <c r="E344">
        <v>293.42</v>
      </c>
      <c r="F344">
        <v>0.02</v>
      </c>
      <c r="G344">
        <v>0.01</v>
      </c>
      <c r="H344">
        <v>802</v>
      </c>
      <c r="I344">
        <v>30</v>
      </c>
    </row>
    <row r="345" spans="1:9" x14ac:dyDescent="0.3">
      <c r="A345" s="1">
        <v>45658</v>
      </c>
      <c r="B345" t="s">
        <v>63</v>
      </c>
      <c r="C345" t="s">
        <v>36</v>
      </c>
      <c r="D345">
        <v>3.45</v>
      </c>
      <c r="E345">
        <v>864.8</v>
      </c>
      <c r="F345">
        <v>0.02</v>
      </c>
      <c r="G345">
        <v>0.04</v>
      </c>
      <c r="H345">
        <v>2507</v>
      </c>
      <c r="I345">
        <v>31</v>
      </c>
    </row>
    <row r="346" spans="1:9" x14ac:dyDescent="0.3">
      <c r="A346" s="1">
        <v>45658</v>
      </c>
      <c r="B346" t="s">
        <v>61</v>
      </c>
      <c r="C346" t="s">
        <v>36</v>
      </c>
      <c r="D346">
        <v>3.36</v>
      </c>
      <c r="E346">
        <v>884.57</v>
      </c>
      <c r="F346">
        <v>0.02</v>
      </c>
      <c r="G346">
        <v>0.04</v>
      </c>
      <c r="H346">
        <v>2633</v>
      </c>
      <c r="I346">
        <v>32</v>
      </c>
    </row>
    <row r="347" spans="1:9" x14ac:dyDescent="0.3">
      <c r="A347" s="1">
        <v>45658</v>
      </c>
      <c r="B347" t="s">
        <v>60</v>
      </c>
      <c r="C347" t="s">
        <v>36</v>
      </c>
      <c r="D347">
        <v>3.32</v>
      </c>
      <c r="E347">
        <v>322.75</v>
      </c>
      <c r="F347">
        <v>0.02</v>
      </c>
      <c r="G347">
        <v>0.01</v>
      </c>
      <c r="H347">
        <v>972</v>
      </c>
      <c r="I347">
        <v>33</v>
      </c>
    </row>
    <row r="348" spans="1:9" x14ac:dyDescent="0.3">
      <c r="A348" s="1">
        <v>45658</v>
      </c>
      <c r="B348" t="s">
        <v>108</v>
      </c>
      <c r="C348" t="s">
        <v>36</v>
      </c>
      <c r="D348">
        <v>3.25</v>
      </c>
      <c r="E348">
        <v>401.64</v>
      </c>
      <c r="F348">
        <v>0.02</v>
      </c>
      <c r="G348">
        <v>0.02</v>
      </c>
      <c r="H348">
        <v>1236</v>
      </c>
      <c r="I348">
        <v>34</v>
      </c>
    </row>
    <row r="349" spans="1:9" x14ac:dyDescent="0.3">
      <c r="A349" s="1">
        <v>45658</v>
      </c>
      <c r="B349" t="s">
        <v>64</v>
      </c>
      <c r="C349" t="s">
        <v>36</v>
      </c>
      <c r="D349">
        <v>2.0699999999999998</v>
      </c>
      <c r="E349">
        <v>437</v>
      </c>
      <c r="F349">
        <v>0.01</v>
      </c>
      <c r="G349">
        <v>0.02</v>
      </c>
      <c r="H349">
        <v>2111</v>
      </c>
      <c r="I349">
        <v>35</v>
      </c>
    </row>
    <row r="350" spans="1:9" x14ac:dyDescent="0.3">
      <c r="A350" s="1">
        <v>45658</v>
      </c>
      <c r="B350" t="s">
        <v>66</v>
      </c>
      <c r="C350" t="s">
        <v>36</v>
      </c>
      <c r="D350">
        <v>1.8</v>
      </c>
      <c r="E350">
        <v>22.39</v>
      </c>
      <c r="F350">
        <v>0.01</v>
      </c>
      <c r="G350">
        <v>0</v>
      </c>
      <c r="H350">
        <v>124</v>
      </c>
      <c r="I350">
        <v>36</v>
      </c>
    </row>
    <row r="351" spans="1:9" x14ac:dyDescent="0.3">
      <c r="A351" s="1">
        <v>45658</v>
      </c>
      <c r="B351" t="s">
        <v>83</v>
      </c>
      <c r="C351" t="s">
        <v>36</v>
      </c>
      <c r="D351">
        <v>1.74</v>
      </c>
      <c r="E351">
        <v>323.72000000000003</v>
      </c>
      <c r="F351">
        <v>0.01</v>
      </c>
      <c r="G351">
        <v>0.01</v>
      </c>
      <c r="H351">
        <v>1860</v>
      </c>
      <c r="I351">
        <v>37</v>
      </c>
    </row>
    <row r="352" spans="1:9" x14ac:dyDescent="0.3">
      <c r="A352" s="1">
        <v>45658</v>
      </c>
      <c r="B352" t="s">
        <v>71</v>
      </c>
      <c r="C352" t="s">
        <v>36</v>
      </c>
      <c r="D352">
        <v>1.62</v>
      </c>
      <c r="E352">
        <v>212.89</v>
      </c>
      <c r="F352">
        <v>0.01</v>
      </c>
      <c r="G352">
        <v>0.01</v>
      </c>
      <c r="H352">
        <v>1314</v>
      </c>
      <c r="I352">
        <v>38</v>
      </c>
    </row>
    <row r="353" spans="1:9" x14ac:dyDescent="0.3">
      <c r="A353" s="1">
        <v>45658</v>
      </c>
      <c r="B353" t="s">
        <v>68</v>
      </c>
      <c r="C353" t="s">
        <v>36</v>
      </c>
      <c r="D353">
        <v>1.49</v>
      </c>
      <c r="E353">
        <v>96</v>
      </c>
      <c r="F353">
        <v>0.01</v>
      </c>
      <c r="G353">
        <v>0</v>
      </c>
      <c r="H353">
        <v>644</v>
      </c>
      <c r="I353">
        <v>39</v>
      </c>
    </row>
    <row r="354" spans="1:9" x14ac:dyDescent="0.3">
      <c r="A354" s="1">
        <v>45658</v>
      </c>
      <c r="B354" t="s">
        <v>70</v>
      </c>
      <c r="C354" t="s">
        <v>36</v>
      </c>
      <c r="D354">
        <v>1.34</v>
      </c>
      <c r="E354">
        <v>237.42</v>
      </c>
      <c r="F354">
        <v>0.01</v>
      </c>
      <c r="G354">
        <v>0.01</v>
      </c>
      <c r="H354">
        <v>1772</v>
      </c>
      <c r="I354">
        <v>40</v>
      </c>
    </row>
    <row r="355" spans="1:9" x14ac:dyDescent="0.3">
      <c r="A355" s="1">
        <v>45658</v>
      </c>
      <c r="B355" t="s">
        <v>69</v>
      </c>
      <c r="C355" t="s">
        <v>36</v>
      </c>
      <c r="D355">
        <v>1.23</v>
      </c>
      <c r="E355">
        <v>442.03</v>
      </c>
      <c r="F355">
        <v>0.01</v>
      </c>
      <c r="G355">
        <v>0.02</v>
      </c>
      <c r="H355">
        <v>3594</v>
      </c>
      <c r="I355">
        <v>41</v>
      </c>
    </row>
    <row r="356" spans="1:9" x14ac:dyDescent="0.3">
      <c r="A356" s="1">
        <v>45658</v>
      </c>
      <c r="B356" t="s">
        <v>75</v>
      </c>
      <c r="C356" t="s">
        <v>36</v>
      </c>
      <c r="D356">
        <v>1.1299999999999999</v>
      </c>
      <c r="E356">
        <v>225.49</v>
      </c>
      <c r="F356">
        <v>0.01</v>
      </c>
      <c r="G356">
        <v>0.01</v>
      </c>
      <c r="H356">
        <v>1995</v>
      </c>
      <c r="I356">
        <v>42</v>
      </c>
    </row>
    <row r="357" spans="1:9" x14ac:dyDescent="0.3">
      <c r="A357" s="1">
        <v>45658</v>
      </c>
      <c r="B357" t="s">
        <v>72</v>
      </c>
      <c r="C357" t="s">
        <v>36</v>
      </c>
      <c r="D357">
        <v>0.93</v>
      </c>
      <c r="E357">
        <v>39.03</v>
      </c>
      <c r="F357">
        <v>0.01</v>
      </c>
      <c r="G357">
        <v>0</v>
      </c>
      <c r="H357">
        <v>420</v>
      </c>
      <c r="I357">
        <v>43</v>
      </c>
    </row>
    <row r="358" spans="1:9" x14ac:dyDescent="0.3">
      <c r="A358" s="1">
        <v>45658</v>
      </c>
      <c r="B358" t="s">
        <v>82</v>
      </c>
      <c r="C358" t="s">
        <v>36</v>
      </c>
      <c r="D358">
        <v>0.82</v>
      </c>
      <c r="E358">
        <v>141.6</v>
      </c>
      <c r="F358">
        <v>0</v>
      </c>
      <c r="G358">
        <v>0.01</v>
      </c>
      <c r="H358">
        <v>1727</v>
      </c>
      <c r="I358">
        <v>44</v>
      </c>
    </row>
    <row r="359" spans="1:9" x14ac:dyDescent="0.3">
      <c r="A359" s="1">
        <v>45658</v>
      </c>
      <c r="B359" t="s">
        <v>76</v>
      </c>
      <c r="C359" t="s">
        <v>36</v>
      </c>
      <c r="D359">
        <v>0.82</v>
      </c>
      <c r="E359">
        <v>201.79</v>
      </c>
      <c r="F359">
        <v>0</v>
      </c>
      <c r="G359">
        <v>0.01</v>
      </c>
      <c r="H359">
        <v>2461</v>
      </c>
      <c r="I359">
        <v>44</v>
      </c>
    </row>
    <row r="360" spans="1:9" x14ac:dyDescent="0.3">
      <c r="A360" s="1">
        <v>45658</v>
      </c>
      <c r="B360" t="s">
        <v>73</v>
      </c>
      <c r="C360" t="s">
        <v>36</v>
      </c>
      <c r="D360">
        <v>0.75</v>
      </c>
      <c r="E360">
        <v>257.23</v>
      </c>
      <c r="F360">
        <v>0</v>
      </c>
      <c r="G360">
        <v>0.01</v>
      </c>
      <c r="H360">
        <v>3430</v>
      </c>
      <c r="I360">
        <v>46</v>
      </c>
    </row>
    <row r="361" spans="1:9" x14ac:dyDescent="0.3">
      <c r="A361" s="1">
        <v>45658</v>
      </c>
      <c r="B361" t="s">
        <v>100</v>
      </c>
      <c r="C361" t="s">
        <v>36</v>
      </c>
      <c r="D361">
        <v>0.7</v>
      </c>
      <c r="E361">
        <v>799.37</v>
      </c>
      <c r="F361">
        <v>0</v>
      </c>
      <c r="G361">
        <v>0.03</v>
      </c>
      <c r="H361">
        <v>11420</v>
      </c>
      <c r="I361">
        <v>47</v>
      </c>
    </row>
    <row r="362" spans="1:9" x14ac:dyDescent="0.3">
      <c r="A362" s="1">
        <v>45658</v>
      </c>
      <c r="B362" t="s">
        <v>74</v>
      </c>
      <c r="C362" t="s">
        <v>36</v>
      </c>
      <c r="D362">
        <v>0.65</v>
      </c>
      <c r="E362">
        <v>192.73</v>
      </c>
      <c r="F362">
        <v>0</v>
      </c>
      <c r="G362">
        <v>0.01</v>
      </c>
      <c r="H362">
        <v>2965</v>
      </c>
      <c r="I362">
        <v>48</v>
      </c>
    </row>
    <row r="363" spans="1:9" x14ac:dyDescent="0.3">
      <c r="A363" s="1">
        <v>45658</v>
      </c>
      <c r="B363" t="s">
        <v>79</v>
      </c>
      <c r="C363" t="s">
        <v>36</v>
      </c>
      <c r="D363">
        <v>0.64</v>
      </c>
      <c r="E363">
        <v>194.07</v>
      </c>
      <c r="F363">
        <v>0</v>
      </c>
      <c r="G363">
        <v>0.01</v>
      </c>
      <c r="H363">
        <v>3032</v>
      </c>
      <c r="I363">
        <v>49</v>
      </c>
    </row>
    <row r="364" spans="1:9" x14ac:dyDescent="0.3">
      <c r="A364" s="1">
        <v>45658</v>
      </c>
      <c r="B364" t="s">
        <v>115</v>
      </c>
      <c r="C364" t="s">
        <v>36</v>
      </c>
      <c r="D364">
        <v>0.63</v>
      </c>
      <c r="E364">
        <v>293.14</v>
      </c>
      <c r="F364">
        <v>0</v>
      </c>
      <c r="G364">
        <v>0.01</v>
      </c>
      <c r="H364">
        <v>4653</v>
      </c>
      <c r="I364">
        <v>50</v>
      </c>
    </row>
    <row r="365" spans="1:9" x14ac:dyDescent="0.3">
      <c r="A365" s="1">
        <v>45658</v>
      </c>
      <c r="B365" t="s">
        <v>81</v>
      </c>
      <c r="C365" t="s">
        <v>36</v>
      </c>
      <c r="D365">
        <v>0.6</v>
      </c>
      <c r="E365">
        <v>63.97</v>
      </c>
      <c r="F365">
        <v>0</v>
      </c>
      <c r="G365">
        <v>0</v>
      </c>
      <c r="H365">
        <v>1066</v>
      </c>
      <c r="I365">
        <v>51</v>
      </c>
    </row>
    <row r="366" spans="1:9" x14ac:dyDescent="0.3">
      <c r="A366" s="1">
        <v>45658</v>
      </c>
      <c r="B366" t="s">
        <v>77</v>
      </c>
      <c r="C366" t="s">
        <v>36</v>
      </c>
      <c r="D366">
        <v>0.59</v>
      </c>
      <c r="E366">
        <v>78.97</v>
      </c>
      <c r="F366">
        <v>0</v>
      </c>
      <c r="G366">
        <v>0</v>
      </c>
      <c r="H366">
        <v>1338</v>
      </c>
      <c r="I366">
        <v>52</v>
      </c>
    </row>
    <row r="367" spans="1:9" x14ac:dyDescent="0.3">
      <c r="A367" s="1">
        <v>45658</v>
      </c>
      <c r="B367" t="s">
        <v>78</v>
      </c>
      <c r="C367" t="s">
        <v>36</v>
      </c>
      <c r="D367">
        <v>0.5</v>
      </c>
      <c r="E367">
        <v>154.35</v>
      </c>
      <c r="F367">
        <v>0</v>
      </c>
      <c r="G367">
        <v>0.01</v>
      </c>
      <c r="H367">
        <v>3087</v>
      </c>
      <c r="I367">
        <v>53</v>
      </c>
    </row>
    <row r="368" spans="1:9" x14ac:dyDescent="0.3">
      <c r="A368" s="1">
        <v>45658</v>
      </c>
      <c r="B368" t="s">
        <v>84</v>
      </c>
      <c r="C368" t="s">
        <v>36</v>
      </c>
      <c r="D368">
        <v>0.34</v>
      </c>
      <c r="E368">
        <v>85.35</v>
      </c>
      <c r="F368">
        <v>0</v>
      </c>
      <c r="G368">
        <v>0</v>
      </c>
      <c r="H368">
        <v>2510</v>
      </c>
      <c r="I368">
        <v>54</v>
      </c>
    </row>
    <row r="369" spans="1:9" x14ac:dyDescent="0.3">
      <c r="A369" s="1">
        <v>45658</v>
      </c>
      <c r="B369" t="s">
        <v>85</v>
      </c>
      <c r="C369" t="s">
        <v>36</v>
      </c>
      <c r="D369">
        <v>0.3</v>
      </c>
      <c r="E369">
        <v>89.22</v>
      </c>
      <c r="F369">
        <v>0</v>
      </c>
      <c r="G369">
        <v>0</v>
      </c>
      <c r="H369">
        <v>2974</v>
      </c>
      <c r="I369">
        <v>55</v>
      </c>
    </row>
    <row r="370" spans="1:9" x14ac:dyDescent="0.3">
      <c r="A370" s="1">
        <v>45658</v>
      </c>
      <c r="B370" t="s">
        <v>80</v>
      </c>
      <c r="C370" t="s">
        <v>36</v>
      </c>
      <c r="D370">
        <v>0.26</v>
      </c>
      <c r="E370">
        <v>58.26</v>
      </c>
      <c r="F370">
        <v>0</v>
      </c>
      <c r="G370">
        <v>0</v>
      </c>
      <c r="H370">
        <v>2241</v>
      </c>
      <c r="I370">
        <v>56</v>
      </c>
    </row>
    <row r="371" spans="1:9" x14ac:dyDescent="0.3">
      <c r="A371" s="1">
        <v>45658</v>
      </c>
      <c r="B371" t="s">
        <v>86</v>
      </c>
      <c r="C371" t="s">
        <v>36</v>
      </c>
      <c r="D371">
        <v>0.25</v>
      </c>
      <c r="E371">
        <v>66.56</v>
      </c>
      <c r="F371">
        <v>0</v>
      </c>
      <c r="G371">
        <v>0</v>
      </c>
      <c r="H371">
        <v>2662</v>
      </c>
      <c r="I371">
        <v>57</v>
      </c>
    </row>
    <row r="372" spans="1:9" x14ac:dyDescent="0.3">
      <c r="A372" s="1">
        <v>45658</v>
      </c>
      <c r="B372" t="s">
        <v>88</v>
      </c>
      <c r="C372" t="s">
        <v>36</v>
      </c>
      <c r="D372">
        <v>0.25</v>
      </c>
      <c r="E372">
        <v>52.98</v>
      </c>
      <c r="F372">
        <v>0</v>
      </c>
      <c r="G372">
        <v>0</v>
      </c>
      <c r="H372">
        <v>2119</v>
      </c>
      <c r="I372">
        <v>57</v>
      </c>
    </row>
    <row r="373" spans="1:9" x14ac:dyDescent="0.3">
      <c r="A373" s="1">
        <v>45658</v>
      </c>
      <c r="B373" t="s">
        <v>109</v>
      </c>
      <c r="C373" t="s">
        <v>36</v>
      </c>
      <c r="D373">
        <v>0.24</v>
      </c>
      <c r="E373">
        <v>26.7</v>
      </c>
      <c r="F373">
        <v>0</v>
      </c>
      <c r="G373">
        <v>0</v>
      </c>
      <c r="H373">
        <v>1113</v>
      </c>
      <c r="I373">
        <v>59</v>
      </c>
    </row>
    <row r="374" spans="1:9" x14ac:dyDescent="0.3">
      <c r="A374" s="1">
        <v>45658</v>
      </c>
      <c r="B374" t="s">
        <v>89</v>
      </c>
      <c r="C374" t="s">
        <v>36</v>
      </c>
      <c r="D374">
        <v>0.24</v>
      </c>
      <c r="E374">
        <v>78.25</v>
      </c>
      <c r="F374">
        <v>0</v>
      </c>
      <c r="G374">
        <v>0</v>
      </c>
      <c r="H374">
        <v>3260</v>
      </c>
      <c r="I374">
        <v>59</v>
      </c>
    </row>
    <row r="375" spans="1:9" x14ac:dyDescent="0.3">
      <c r="A375" s="1">
        <v>45658</v>
      </c>
      <c r="B375" t="s">
        <v>99</v>
      </c>
      <c r="C375" t="s">
        <v>36</v>
      </c>
      <c r="D375">
        <v>0.23</v>
      </c>
      <c r="E375">
        <v>9.01</v>
      </c>
      <c r="F375">
        <v>0</v>
      </c>
      <c r="G375">
        <v>0</v>
      </c>
      <c r="H375">
        <v>392</v>
      </c>
      <c r="I375">
        <v>61</v>
      </c>
    </row>
    <row r="376" spans="1:9" x14ac:dyDescent="0.3">
      <c r="A376" s="1">
        <v>45658</v>
      </c>
      <c r="B376" t="s">
        <v>98</v>
      </c>
      <c r="C376" t="s">
        <v>36</v>
      </c>
      <c r="D376">
        <v>0.21</v>
      </c>
      <c r="E376">
        <v>19.64</v>
      </c>
      <c r="F376">
        <v>0</v>
      </c>
      <c r="G376">
        <v>0</v>
      </c>
      <c r="H376">
        <v>935</v>
      </c>
      <c r="I376">
        <v>62</v>
      </c>
    </row>
    <row r="377" spans="1:9" x14ac:dyDescent="0.3">
      <c r="A377" s="1">
        <v>45658</v>
      </c>
      <c r="B377" t="s">
        <v>87</v>
      </c>
      <c r="C377" t="s">
        <v>36</v>
      </c>
      <c r="D377">
        <v>0.2</v>
      </c>
      <c r="E377">
        <v>123.89</v>
      </c>
      <c r="F377">
        <v>0</v>
      </c>
      <c r="G377">
        <v>0.01</v>
      </c>
      <c r="H377">
        <v>6195</v>
      </c>
      <c r="I377">
        <v>63</v>
      </c>
    </row>
    <row r="378" spans="1:9" x14ac:dyDescent="0.3">
      <c r="A378" s="1">
        <v>45658</v>
      </c>
      <c r="B378" t="s">
        <v>102</v>
      </c>
      <c r="C378" t="s">
        <v>36</v>
      </c>
      <c r="D378">
        <v>0.16</v>
      </c>
      <c r="E378">
        <v>7.76</v>
      </c>
      <c r="F378">
        <v>0</v>
      </c>
      <c r="G378">
        <v>0</v>
      </c>
      <c r="H378">
        <v>485</v>
      </c>
      <c r="I378">
        <v>64</v>
      </c>
    </row>
    <row r="379" spans="1:9" x14ac:dyDescent="0.3">
      <c r="A379" s="1">
        <v>45658</v>
      </c>
      <c r="B379" t="s">
        <v>90</v>
      </c>
      <c r="C379" t="s">
        <v>36</v>
      </c>
      <c r="D379">
        <v>0.15</v>
      </c>
      <c r="E379">
        <v>7.72</v>
      </c>
      <c r="F379">
        <v>0</v>
      </c>
      <c r="G379">
        <v>0</v>
      </c>
      <c r="H379">
        <v>515</v>
      </c>
      <c r="I379">
        <v>65</v>
      </c>
    </row>
    <row r="380" spans="1:9" x14ac:dyDescent="0.3">
      <c r="A380" s="1">
        <v>45658</v>
      </c>
      <c r="B380" t="s">
        <v>112</v>
      </c>
      <c r="C380" t="s">
        <v>36</v>
      </c>
      <c r="D380">
        <v>0.12</v>
      </c>
      <c r="E380">
        <v>9.77</v>
      </c>
      <c r="F380">
        <v>0</v>
      </c>
      <c r="G380">
        <v>0</v>
      </c>
      <c r="H380">
        <v>814</v>
      </c>
      <c r="I380">
        <v>66</v>
      </c>
    </row>
    <row r="381" spans="1:9" x14ac:dyDescent="0.3">
      <c r="A381" s="1">
        <v>45658</v>
      </c>
      <c r="B381" t="s">
        <v>97</v>
      </c>
      <c r="C381" t="s">
        <v>36</v>
      </c>
      <c r="D381">
        <v>0.11</v>
      </c>
      <c r="E381">
        <v>13.96</v>
      </c>
      <c r="F381">
        <v>0</v>
      </c>
      <c r="G381">
        <v>0</v>
      </c>
      <c r="H381">
        <v>1269</v>
      </c>
      <c r="I381">
        <v>67</v>
      </c>
    </row>
    <row r="382" spans="1:9" x14ac:dyDescent="0.3">
      <c r="A382" s="1">
        <v>45658</v>
      </c>
      <c r="B382" t="s">
        <v>93</v>
      </c>
      <c r="C382" t="s">
        <v>36</v>
      </c>
      <c r="D382">
        <v>0.11</v>
      </c>
      <c r="E382">
        <v>41.84</v>
      </c>
      <c r="F382">
        <v>0</v>
      </c>
      <c r="G382">
        <v>0</v>
      </c>
      <c r="H382">
        <v>3804</v>
      </c>
      <c r="I382">
        <v>67</v>
      </c>
    </row>
    <row r="383" spans="1:9" x14ac:dyDescent="0.3">
      <c r="A383" s="1">
        <v>45658</v>
      </c>
      <c r="B383" t="s">
        <v>92</v>
      </c>
      <c r="C383" t="s">
        <v>36</v>
      </c>
      <c r="D383">
        <v>0.1</v>
      </c>
      <c r="E383">
        <v>48.75</v>
      </c>
      <c r="F383">
        <v>0</v>
      </c>
      <c r="G383">
        <v>0</v>
      </c>
      <c r="H383">
        <v>4875</v>
      </c>
      <c r="I383">
        <v>69</v>
      </c>
    </row>
    <row r="384" spans="1:9" x14ac:dyDescent="0.3">
      <c r="A384" s="1">
        <v>45658</v>
      </c>
      <c r="B384" t="s">
        <v>91</v>
      </c>
      <c r="C384" t="s">
        <v>36</v>
      </c>
      <c r="D384">
        <v>0.09</v>
      </c>
      <c r="E384">
        <v>6.74</v>
      </c>
      <c r="F384">
        <v>0</v>
      </c>
      <c r="G384">
        <v>0</v>
      </c>
      <c r="H384">
        <v>749</v>
      </c>
      <c r="I384">
        <v>70</v>
      </c>
    </row>
    <row r="385" spans="1:9" x14ac:dyDescent="0.3">
      <c r="A385" s="1">
        <v>45658</v>
      </c>
      <c r="B385" t="s">
        <v>114</v>
      </c>
      <c r="C385" t="s">
        <v>36</v>
      </c>
      <c r="D385">
        <v>0.09</v>
      </c>
      <c r="E385">
        <v>11.04</v>
      </c>
      <c r="F385">
        <v>0</v>
      </c>
      <c r="G385">
        <v>0</v>
      </c>
      <c r="H385">
        <v>1227</v>
      </c>
      <c r="I385">
        <v>70</v>
      </c>
    </row>
    <row r="386" spans="1:9" x14ac:dyDescent="0.3">
      <c r="A386" s="1">
        <v>45658</v>
      </c>
      <c r="B386" t="s">
        <v>95</v>
      </c>
      <c r="C386" t="s">
        <v>36</v>
      </c>
      <c r="D386">
        <v>0.08</v>
      </c>
      <c r="E386">
        <v>29.52</v>
      </c>
      <c r="F386">
        <v>0</v>
      </c>
      <c r="G386">
        <v>0</v>
      </c>
      <c r="H386">
        <v>3690</v>
      </c>
      <c r="I386">
        <v>72</v>
      </c>
    </row>
    <row r="387" spans="1:9" x14ac:dyDescent="0.3">
      <c r="A387" s="1">
        <v>45658</v>
      </c>
      <c r="B387" t="s">
        <v>101</v>
      </c>
      <c r="C387" t="s">
        <v>36</v>
      </c>
      <c r="D387">
        <v>0.08</v>
      </c>
      <c r="E387">
        <v>29.32</v>
      </c>
      <c r="F387">
        <v>0</v>
      </c>
      <c r="G387">
        <v>0</v>
      </c>
      <c r="H387">
        <v>3665</v>
      </c>
      <c r="I387">
        <v>72</v>
      </c>
    </row>
    <row r="388" spans="1:9" x14ac:dyDescent="0.3">
      <c r="A388" s="1">
        <v>45658</v>
      </c>
      <c r="B388" t="s">
        <v>96</v>
      </c>
      <c r="C388" t="s">
        <v>36</v>
      </c>
      <c r="D388">
        <v>0.08</v>
      </c>
      <c r="E388">
        <v>26.96</v>
      </c>
      <c r="F388">
        <v>0</v>
      </c>
      <c r="G388">
        <v>0</v>
      </c>
      <c r="H388">
        <v>3370</v>
      </c>
      <c r="I388">
        <v>72</v>
      </c>
    </row>
    <row r="389" spans="1:9" x14ac:dyDescent="0.3">
      <c r="A389" s="1">
        <v>45658</v>
      </c>
      <c r="B389" t="s">
        <v>113</v>
      </c>
      <c r="C389" t="s">
        <v>36</v>
      </c>
      <c r="D389">
        <v>0.08</v>
      </c>
      <c r="E389">
        <v>7.67</v>
      </c>
      <c r="F389">
        <v>0</v>
      </c>
      <c r="G389">
        <v>0</v>
      </c>
      <c r="H389">
        <v>959</v>
      </c>
      <c r="I389">
        <v>72</v>
      </c>
    </row>
    <row r="390" spans="1:9" x14ac:dyDescent="0.3">
      <c r="A390" s="1">
        <v>45658</v>
      </c>
      <c r="B390" t="s">
        <v>94</v>
      </c>
      <c r="C390" t="s">
        <v>36</v>
      </c>
      <c r="D390">
        <v>7.0000000000000007E-2</v>
      </c>
      <c r="E390">
        <v>8.35</v>
      </c>
      <c r="F390">
        <v>0</v>
      </c>
      <c r="G390">
        <v>0</v>
      </c>
      <c r="H390">
        <v>1193</v>
      </c>
      <c r="I390">
        <v>76</v>
      </c>
    </row>
    <row r="391" spans="1:9" x14ac:dyDescent="0.3">
      <c r="A391" s="1">
        <v>45658</v>
      </c>
      <c r="B391" t="s">
        <v>111</v>
      </c>
      <c r="C391" t="s">
        <v>36</v>
      </c>
      <c r="D391">
        <v>0.05</v>
      </c>
      <c r="E391">
        <v>29.81</v>
      </c>
      <c r="F391">
        <v>0</v>
      </c>
      <c r="G391">
        <v>0</v>
      </c>
      <c r="H391">
        <v>5962</v>
      </c>
      <c r="I391">
        <v>77</v>
      </c>
    </row>
    <row r="392" spans="1:9" x14ac:dyDescent="0.3">
      <c r="A392" s="1">
        <v>45658</v>
      </c>
      <c r="B392" t="s">
        <v>116</v>
      </c>
      <c r="C392" t="s">
        <v>36</v>
      </c>
      <c r="D392">
        <v>0.04</v>
      </c>
      <c r="E392">
        <v>15.22</v>
      </c>
      <c r="F392">
        <v>0</v>
      </c>
      <c r="G392">
        <v>0</v>
      </c>
      <c r="H392">
        <v>3805</v>
      </c>
      <c r="I392">
        <v>78</v>
      </c>
    </row>
    <row r="393" spans="1:9" x14ac:dyDescent="0.3">
      <c r="A393" s="1">
        <v>45658</v>
      </c>
      <c r="B393" t="s">
        <v>105</v>
      </c>
      <c r="C393" t="s">
        <v>36</v>
      </c>
      <c r="D393">
        <v>0.04</v>
      </c>
      <c r="E393">
        <v>28.47</v>
      </c>
      <c r="F393">
        <v>0</v>
      </c>
      <c r="G393">
        <v>0</v>
      </c>
      <c r="H393">
        <v>7118</v>
      </c>
      <c r="I393">
        <v>78</v>
      </c>
    </row>
    <row r="394" spans="1:9" x14ac:dyDescent="0.3">
      <c r="A394" s="1">
        <v>45658</v>
      </c>
      <c r="B394" t="s">
        <v>110</v>
      </c>
      <c r="C394" t="s">
        <v>36</v>
      </c>
      <c r="D394">
        <v>0.03</v>
      </c>
      <c r="E394">
        <v>2.39</v>
      </c>
      <c r="F394">
        <v>0</v>
      </c>
      <c r="G394">
        <v>0</v>
      </c>
      <c r="H394">
        <v>797</v>
      </c>
      <c r="I394">
        <v>80</v>
      </c>
    </row>
    <row r="395" spans="1:9" x14ac:dyDescent="0.3">
      <c r="A395" s="1">
        <v>45658</v>
      </c>
      <c r="B395" t="s">
        <v>104</v>
      </c>
      <c r="C395" t="s">
        <v>36</v>
      </c>
      <c r="D395">
        <v>0.03</v>
      </c>
      <c r="E395">
        <v>11.6</v>
      </c>
      <c r="F395">
        <v>0</v>
      </c>
      <c r="G395">
        <v>0</v>
      </c>
      <c r="H395">
        <v>3867</v>
      </c>
      <c r="I395">
        <v>80</v>
      </c>
    </row>
    <row r="396" spans="1:9" x14ac:dyDescent="0.3">
      <c r="A396" s="1">
        <v>45658</v>
      </c>
      <c r="B396" t="s">
        <v>103</v>
      </c>
      <c r="C396" t="s">
        <v>36</v>
      </c>
      <c r="D396">
        <v>0.02</v>
      </c>
      <c r="E396">
        <v>1.55</v>
      </c>
      <c r="F396">
        <v>0</v>
      </c>
      <c r="G396">
        <v>0</v>
      </c>
      <c r="H396">
        <v>775</v>
      </c>
      <c r="I396">
        <v>82</v>
      </c>
    </row>
    <row r="397" spans="1:9" x14ac:dyDescent="0.3">
      <c r="A397" s="1">
        <v>45689</v>
      </c>
      <c r="B397" t="s">
        <v>32</v>
      </c>
      <c r="C397" t="s">
        <v>32</v>
      </c>
      <c r="D397">
        <v>7656.4</v>
      </c>
      <c r="E397">
        <v>1118963.81</v>
      </c>
      <c r="F397">
        <v>47.54</v>
      </c>
      <c r="G397">
        <v>50.94</v>
      </c>
      <c r="H397">
        <v>1461</v>
      </c>
      <c r="I397">
        <v>1</v>
      </c>
    </row>
    <row r="398" spans="1:9" x14ac:dyDescent="0.3">
      <c r="A398" s="1">
        <v>45689</v>
      </c>
      <c r="B398" t="s">
        <v>33</v>
      </c>
      <c r="C398" t="s">
        <v>33</v>
      </c>
      <c r="D398">
        <v>5836.8</v>
      </c>
      <c r="E398">
        <v>771089.15</v>
      </c>
      <c r="F398">
        <v>36.24</v>
      </c>
      <c r="G398">
        <v>35.11</v>
      </c>
      <c r="H398">
        <v>1321</v>
      </c>
      <c r="I398">
        <v>2</v>
      </c>
    </row>
    <row r="399" spans="1:9" x14ac:dyDescent="0.3">
      <c r="A399" s="1">
        <v>45689</v>
      </c>
      <c r="B399" t="s">
        <v>34</v>
      </c>
      <c r="C399" t="s">
        <v>34</v>
      </c>
      <c r="D399">
        <v>1079.6400000000001</v>
      </c>
      <c r="E399">
        <v>117090.29</v>
      </c>
      <c r="F399">
        <v>6.7</v>
      </c>
      <c r="G399">
        <v>5.33</v>
      </c>
      <c r="H399">
        <v>1085</v>
      </c>
      <c r="I399">
        <v>3</v>
      </c>
    </row>
    <row r="400" spans="1:9" x14ac:dyDescent="0.3">
      <c r="A400" s="1">
        <v>45689</v>
      </c>
      <c r="B400" t="s">
        <v>37</v>
      </c>
      <c r="C400" t="s">
        <v>36</v>
      </c>
      <c r="D400">
        <v>260.75</v>
      </c>
      <c r="E400">
        <v>14322.97</v>
      </c>
      <c r="F400">
        <v>1.62</v>
      </c>
      <c r="G400">
        <v>0.65</v>
      </c>
      <c r="H400">
        <v>549</v>
      </c>
      <c r="I400">
        <v>4</v>
      </c>
    </row>
    <row r="401" spans="1:9" x14ac:dyDescent="0.3">
      <c r="A401" s="1">
        <v>45689</v>
      </c>
      <c r="B401" t="s">
        <v>47</v>
      </c>
      <c r="C401" t="s">
        <v>36</v>
      </c>
      <c r="D401">
        <v>139.1</v>
      </c>
      <c r="E401">
        <v>4812.4399999999996</v>
      </c>
      <c r="F401">
        <v>0.86</v>
      </c>
      <c r="G401">
        <v>0.22</v>
      </c>
      <c r="H401">
        <v>346</v>
      </c>
      <c r="I401">
        <v>5</v>
      </c>
    </row>
    <row r="402" spans="1:9" x14ac:dyDescent="0.3">
      <c r="A402" s="1">
        <v>45689</v>
      </c>
      <c r="B402" t="s">
        <v>35</v>
      </c>
      <c r="C402" t="s">
        <v>36</v>
      </c>
      <c r="D402">
        <v>126.48</v>
      </c>
      <c r="E402">
        <v>45127.72</v>
      </c>
      <c r="F402">
        <v>0.79</v>
      </c>
      <c r="G402">
        <v>2.0499999999999998</v>
      </c>
      <c r="H402">
        <v>3568</v>
      </c>
      <c r="I402">
        <v>6</v>
      </c>
    </row>
    <row r="403" spans="1:9" x14ac:dyDescent="0.3">
      <c r="A403" s="1">
        <v>45689</v>
      </c>
      <c r="B403" t="s">
        <v>38</v>
      </c>
      <c r="C403" t="s">
        <v>36</v>
      </c>
      <c r="D403">
        <v>117.7</v>
      </c>
      <c r="E403">
        <v>9197.33</v>
      </c>
      <c r="F403">
        <v>0.73</v>
      </c>
      <c r="G403">
        <v>0.42</v>
      </c>
      <c r="H403">
        <v>781</v>
      </c>
      <c r="I403">
        <v>7</v>
      </c>
    </row>
    <row r="404" spans="1:9" x14ac:dyDescent="0.3">
      <c r="A404" s="1">
        <v>45689</v>
      </c>
      <c r="B404" t="s">
        <v>39</v>
      </c>
      <c r="C404" t="s">
        <v>36</v>
      </c>
      <c r="D404">
        <v>93.31</v>
      </c>
      <c r="E404">
        <v>9077.2999999999993</v>
      </c>
      <c r="F404">
        <v>0.57999999999999996</v>
      </c>
      <c r="G404">
        <v>0.41</v>
      </c>
      <c r="H404">
        <v>973</v>
      </c>
      <c r="I404">
        <v>8</v>
      </c>
    </row>
    <row r="405" spans="1:9" x14ac:dyDescent="0.3">
      <c r="A405" s="1">
        <v>45689</v>
      </c>
      <c r="B405" t="s">
        <v>40</v>
      </c>
      <c r="C405" t="s">
        <v>36</v>
      </c>
      <c r="D405">
        <v>77.08</v>
      </c>
      <c r="E405">
        <v>876.12</v>
      </c>
      <c r="F405">
        <v>0.48</v>
      </c>
      <c r="G405">
        <v>0.04</v>
      </c>
      <c r="H405">
        <v>114</v>
      </c>
      <c r="I405">
        <v>9</v>
      </c>
    </row>
    <row r="406" spans="1:9" x14ac:dyDescent="0.3">
      <c r="A406" s="1">
        <v>45689</v>
      </c>
      <c r="B406" t="s">
        <v>42</v>
      </c>
      <c r="C406" t="s">
        <v>36</v>
      </c>
      <c r="D406">
        <v>58.86</v>
      </c>
      <c r="E406">
        <v>4349.62</v>
      </c>
      <c r="F406">
        <v>0.37</v>
      </c>
      <c r="G406">
        <v>0.2</v>
      </c>
      <c r="H406">
        <v>739</v>
      </c>
      <c r="I406">
        <v>10</v>
      </c>
    </row>
    <row r="407" spans="1:9" x14ac:dyDescent="0.3">
      <c r="A407" s="1">
        <v>45689</v>
      </c>
      <c r="B407" t="s">
        <v>41</v>
      </c>
      <c r="C407" t="s">
        <v>36</v>
      </c>
      <c r="D407">
        <v>54.11</v>
      </c>
      <c r="E407">
        <v>14374.53</v>
      </c>
      <c r="F407">
        <v>0.34</v>
      </c>
      <c r="G407">
        <v>0.65</v>
      </c>
      <c r="H407">
        <v>2657</v>
      </c>
      <c r="I407">
        <v>11</v>
      </c>
    </row>
    <row r="408" spans="1:9" x14ac:dyDescent="0.3">
      <c r="A408" s="1">
        <v>45689</v>
      </c>
      <c r="B408" t="s">
        <v>43</v>
      </c>
      <c r="C408" t="s">
        <v>36</v>
      </c>
      <c r="D408">
        <v>50.53</v>
      </c>
      <c r="E408">
        <v>6872.1</v>
      </c>
      <c r="F408">
        <v>0.31</v>
      </c>
      <c r="G408">
        <v>0.31</v>
      </c>
      <c r="H408">
        <v>1360</v>
      </c>
      <c r="I408">
        <v>12</v>
      </c>
    </row>
    <row r="409" spans="1:9" x14ac:dyDescent="0.3">
      <c r="A409" s="1">
        <v>45689</v>
      </c>
      <c r="B409" t="s">
        <v>44</v>
      </c>
      <c r="C409" t="s">
        <v>36</v>
      </c>
      <c r="D409">
        <v>47.98</v>
      </c>
      <c r="E409">
        <v>10547.64</v>
      </c>
      <c r="F409">
        <v>0.3</v>
      </c>
      <c r="G409">
        <v>0.48</v>
      </c>
      <c r="H409">
        <v>2198</v>
      </c>
      <c r="I409">
        <v>13</v>
      </c>
    </row>
    <row r="410" spans="1:9" x14ac:dyDescent="0.3">
      <c r="A410" s="1">
        <v>45689</v>
      </c>
      <c r="B410" t="s">
        <v>45</v>
      </c>
      <c r="C410" t="s">
        <v>36</v>
      </c>
      <c r="D410">
        <v>37.78</v>
      </c>
      <c r="E410">
        <v>8385.06</v>
      </c>
      <c r="F410">
        <v>0.23</v>
      </c>
      <c r="G410">
        <v>0.38</v>
      </c>
      <c r="H410">
        <v>2219</v>
      </c>
      <c r="I410">
        <v>14</v>
      </c>
    </row>
    <row r="411" spans="1:9" x14ac:dyDescent="0.3">
      <c r="A411" s="1">
        <v>45689</v>
      </c>
      <c r="B411" t="s">
        <v>46</v>
      </c>
      <c r="C411" t="s">
        <v>36</v>
      </c>
      <c r="D411">
        <v>36.880000000000003</v>
      </c>
      <c r="E411">
        <v>8475.2900000000009</v>
      </c>
      <c r="F411">
        <v>0.23</v>
      </c>
      <c r="G411">
        <v>0.39</v>
      </c>
      <c r="H411">
        <v>2298</v>
      </c>
      <c r="I411">
        <v>15</v>
      </c>
    </row>
    <row r="412" spans="1:9" x14ac:dyDescent="0.3">
      <c r="A412" s="1">
        <v>45689</v>
      </c>
      <c r="B412" t="s">
        <v>49</v>
      </c>
      <c r="C412" t="s">
        <v>36</v>
      </c>
      <c r="D412">
        <v>24.19</v>
      </c>
      <c r="E412">
        <v>3733.72</v>
      </c>
      <c r="F412">
        <v>0.15</v>
      </c>
      <c r="G412">
        <v>0.17</v>
      </c>
      <c r="H412">
        <v>1543</v>
      </c>
      <c r="I412">
        <v>16</v>
      </c>
    </row>
    <row r="413" spans="1:9" x14ac:dyDescent="0.3">
      <c r="A413" s="1">
        <v>45689</v>
      </c>
      <c r="B413" t="s">
        <v>48</v>
      </c>
      <c r="C413" t="s">
        <v>36</v>
      </c>
      <c r="D413">
        <v>18.989999999999998</v>
      </c>
      <c r="E413">
        <v>1349.23</v>
      </c>
      <c r="F413">
        <v>0.12</v>
      </c>
      <c r="G413">
        <v>0.06</v>
      </c>
      <c r="H413">
        <v>710</v>
      </c>
      <c r="I413">
        <v>17</v>
      </c>
    </row>
    <row r="414" spans="1:9" x14ac:dyDescent="0.3">
      <c r="A414" s="1">
        <v>45689</v>
      </c>
      <c r="B414" t="s">
        <v>53</v>
      </c>
      <c r="C414" t="s">
        <v>36</v>
      </c>
      <c r="D414">
        <v>15.31</v>
      </c>
      <c r="E414">
        <v>1742.71</v>
      </c>
      <c r="F414">
        <v>0.1</v>
      </c>
      <c r="G414">
        <v>0.08</v>
      </c>
      <c r="H414">
        <v>1138</v>
      </c>
      <c r="I414">
        <v>18</v>
      </c>
    </row>
    <row r="415" spans="1:9" x14ac:dyDescent="0.3">
      <c r="A415" s="1">
        <v>45689</v>
      </c>
      <c r="B415" t="s">
        <v>50</v>
      </c>
      <c r="C415" t="s">
        <v>36</v>
      </c>
      <c r="D415">
        <v>12.81</v>
      </c>
      <c r="E415">
        <v>8383.73</v>
      </c>
      <c r="F415">
        <v>0.08</v>
      </c>
      <c r="G415">
        <v>0.38</v>
      </c>
      <c r="H415">
        <v>6545</v>
      </c>
      <c r="I415">
        <v>19</v>
      </c>
    </row>
    <row r="416" spans="1:9" x14ac:dyDescent="0.3">
      <c r="A416" s="1">
        <v>45689</v>
      </c>
      <c r="B416" t="s">
        <v>57</v>
      </c>
      <c r="C416" t="s">
        <v>36</v>
      </c>
      <c r="D416">
        <v>12.27</v>
      </c>
      <c r="E416">
        <v>1463.53</v>
      </c>
      <c r="F416">
        <v>0.08</v>
      </c>
      <c r="G416">
        <v>7.0000000000000007E-2</v>
      </c>
      <c r="H416">
        <v>1193</v>
      </c>
      <c r="I416">
        <v>20</v>
      </c>
    </row>
    <row r="417" spans="1:9" x14ac:dyDescent="0.3">
      <c r="A417" s="1">
        <v>45689</v>
      </c>
      <c r="B417" t="s">
        <v>55</v>
      </c>
      <c r="C417" t="s">
        <v>36</v>
      </c>
      <c r="D417">
        <v>11.98</v>
      </c>
      <c r="E417">
        <v>2158.3000000000002</v>
      </c>
      <c r="F417">
        <v>7.0000000000000007E-2</v>
      </c>
      <c r="G417">
        <v>0.1</v>
      </c>
      <c r="H417">
        <v>1802</v>
      </c>
      <c r="I417">
        <v>21</v>
      </c>
    </row>
    <row r="418" spans="1:9" x14ac:dyDescent="0.3">
      <c r="A418" s="1">
        <v>45689</v>
      </c>
      <c r="B418" t="s">
        <v>54</v>
      </c>
      <c r="C418" t="s">
        <v>36</v>
      </c>
      <c r="D418">
        <v>11.68</v>
      </c>
      <c r="E418">
        <v>3197.67</v>
      </c>
      <c r="F418">
        <v>7.0000000000000007E-2</v>
      </c>
      <c r="G418">
        <v>0.15</v>
      </c>
      <c r="H418">
        <v>2738</v>
      </c>
      <c r="I418">
        <v>22</v>
      </c>
    </row>
    <row r="419" spans="1:9" x14ac:dyDescent="0.3">
      <c r="A419" s="1">
        <v>45689</v>
      </c>
      <c r="B419" t="s">
        <v>67</v>
      </c>
      <c r="C419" t="s">
        <v>36</v>
      </c>
      <c r="D419">
        <v>8.86</v>
      </c>
      <c r="E419">
        <v>1421.89</v>
      </c>
      <c r="F419">
        <v>0.06</v>
      </c>
      <c r="G419">
        <v>0.06</v>
      </c>
      <c r="H419">
        <v>1605</v>
      </c>
      <c r="I419">
        <v>23</v>
      </c>
    </row>
    <row r="420" spans="1:9" x14ac:dyDescent="0.3">
      <c r="A420" s="1">
        <v>45689</v>
      </c>
      <c r="B420" t="s">
        <v>52</v>
      </c>
      <c r="C420" t="s">
        <v>36</v>
      </c>
      <c r="D420">
        <v>8.39</v>
      </c>
      <c r="E420">
        <v>1707.51</v>
      </c>
      <c r="F420">
        <v>0.05</v>
      </c>
      <c r="G420">
        <v>0.08</v>
      </c>
      <c r="H420">
        <v>2035</v>
      </c>
      <c r="I420">
        <v>24</v>
      </c>
    </row>
    <row r="421" spans="1:9" x14ac:dyDescent="0.3">
      <c r="A421" s="1">
        <v>45689</v>
      </c>
      <c r="B421" t="s">
        <v>56</v>
      </c>
      <c r="C421" t="s">
        <v>36</v>
      </c>
      <c r="D421">
        <v>8.09</v>
      </c>
      <c r="E421">
        <v>576.29999999999995</v>
      </c>
      <c r="F421">
        <v>0.05</v>
      </c>
      <c r="G421">
        <v>0.03</v>
      </c>
      <c r="H421">
        <v>712</v>
      </c>
      <c r="I421">
        <v>25</v>
      </c>
    </row>
    <row r="422" spans="1:9" x14ac:dyDescent="0.3">
      <c r="A422" s="1">
        <v>45689</v>
      </c>
      <c r="B422" t="s">
        <v>65</v>
      </c>
      <c r="C422" t="s">
        <v>36</v>
      </c>
      <c r="D422">
        <v>7.27</v>
      </c>
      <c r="E422">
        <v>419.36</v>
      </c>
      <c r="F422">
        <v>0.05</v>
      </c>
      <c r="G422">
        <v>0.02</v>
      </c>
      <c r="H422">
        <v>577</v>
      </c>
      <c r="I422">
        <v>26</v>
      </c>
    </row>
    <row r="423" spans="1:9" x14ac:dyDescent="0.3">
      <c r="A423" s="1">
        <v>45689</v>
      </c>
      <c r="B423" t="s">
        <v>59</v>
      </c>
      <c r="C423" t="s">
        <v>36</v>
      </c>
      <c r="D423">
        <v>5.95</v>
      </c>
      <c r="E423">
        <v>858.34</v>
      </c>
      <c r="F423">
        <v>0.04</v>
      </c>
      <c r="G423">
        <v>0.04</v>
      </c>
      <c r="H423">
        <v>1443</v>
      </c>
      <c r="I423">
        <v>27</v>
      </c>
    </row>
    <row r="424" spans="1:9" x14ac:dyDescent="0.3">
      <c r="A424" s="1">
        <v>45689</v>
      </c>
      <c r="B424" t="s">
        <v>51</v>
      </c>
      <c r="C424" t="s">
        <v>36</v>
      </c>
      <c r="D424">
        <v>4.42</v>
      </c>
      <c r="E424">
        <v>238.42</v>
      </c>
      <c r="F424">
        <v>0.03</v>
      </c>
      <c r="G424">
        <v>0.01</v>
      </c>
      <c r="H424">
        <v>539</v>
      </c>
      <c r="I424">
        <v>28</v>
      </c>
    </row>
    <row r="425" spans="1:9" x14ac:dyDescent="0.3">
      <c r="A425" s="1">
        <v>45689</v>
      </c>
      <c r="B425" t="s">
        <v>58</v>
      </c>
      <c r="C425" t="s">
        <v>36</v>
      </c>
      <c r="D425">
        <v>4.08</v>
      </c>
      <c r="E425">
        <v>715.26</v>
      </c>
      <c r="F425">
        <v>0.03</v>
      </c>
      <c r="G425">
        <v>0.03</v>
      </c>
      <c r="H425">
        <v>1753</v>
      </c>
      <c r="I425">
        <v>29</v>
      </c>
    </row>
    <row r="426" spans="1:9" x14ac:dyDescent="0.3">
      <c r="A426" s="1">
        <v>45689</v>
      </c>
      <c r="B426" t="s">
        <v>62</v>
      </c>
      <c r="C426" t="s">
        <v>36</v>
      </c>
      <c r="D426">
        <v>3.66</v>
      </c>
      <c r="E426">
        <v>290.56</v>
      </c>
      <c r="F426">
        <v>0.02</v>
      </c>
      <c r="G426">
        <v>0.01</v>
      </c>
      <c r="H426">
        <v>794</v>
      </c>
      <c r="I426">
        <v>30</v>
      </c>
    </row>
    <row r="427" spans="1:9" x14ac:dyDescent="0.3">
      <c r="A427" s="1">
        <v>45689</v>
      </c>
      <c r="B427" t="s">
        <v>61</v>
      </c>
      <c r="C427" t="s">
        <v>36</v>
      </c>
      <c r="D427">
        <v>3.25</v>
      </c>
      <c r="E427">
        <v>837.13</v>
      </c>
      <c r="F427">
        <v>0.02</v>
      </c>
      <c r="G427">
        <v>0.04</v>
      </c>
      <c r="H427">
        <v>2576</v>
      </c>
      <c r="I427">
        <v>31</v>
      </c>
    </row>
    <row r="428" spans="1:9" x14ac:dyDescent="0.3">
      <c r="A428" s="1">
        <v>45689</v>
      </c>
      <c r="B428" t="s">
        <v>63</v>
      </c>
      <c r="C428" t="s">
        <v>36</v>
      </c>
      <c r="D428">
        <v>3.19</v>
      </c>
      <c r="E428">
        <v>809.91</v>
      </c>
      <c r="F428">
        <v>0.02</v>
      </c>
      <c r="G428">
        <v>0.04</v>
      </c>
      <c r="H428">
        <v>2539</v>
      </c>
      <c r="I428">
        <v>32</v>
      </c>
    </row>
    <row r="429" spans="1:9" x14ac:dyDescent="0.3">
      <c r="A429" s="1">
        <v>45689</v>
      </c>
      <c r="B429" t="s">
        <v>60</v>
      </c>
      <c r="C429" t="s">
        <v>36</v>
      </c>
      <c r="D429">
        <v>3.12</v>
      </c>
      <c r="E429">
        <v>442.68</v>
      </c>
      <c r="F429">
        <v>0.02</v>
      </c>
      <c r="G429">
        <v>0.02</v>
      </c>
      <c r="H429">
        <v>1419</v>
      </c>
      <c r="I429">
        <v>33</v>
      </c>
    </row>
    <row r="430" spans="1:9" x14ac:dyDescent="0.3">
      <c r="A430" s="1">
        <v>45689</v>
      </c>
      <c r="B430" t="s">
        <v>108</v>
      </c>
      <c r="C430" t="s">
        <v>36</v>
      </c>
      <c r="D430">
        <v>2.99</v>
      </c>
      <c r="E430">
        <v>377.32</v>
      </c>
      <c r="F430">
        <v>0.02</v>
      </c>
      <c r="G430">
        <v>0.02</v>
      </c>
      <c r="H430">
        <v>1262</v>
      </c>
      <c r="I430">
        <v>34</v>
      </c>
    </row>
    <row r="431" spans="1:9" x14ac:dyDescent="0.3">
      <c r="A431" s="1">
        <v>45689</v>
      </c>
      <c r="B431" t="s">
        <v>66</v>
      </c>
      <c r="C431" t="s">
        <v>36</v>
      </c>
      <c r="D431">
        <v>2.19</v>
      </c>
      <c r="E431">
        <v>28.77</v>
      </c>
      <c r="F431">
        <v>0.01</v>
      </c>
      <c r="G431">
        <v>0</v>
      </c>
      <c r="H431">
        <v>131</v>
      </c>
      <c r="I431">
        <v>35</v>
      </c>
    </row>
    <row r="432" spans="1:9" x14ac:dyDescent="0.3">
      <c r="A432" s="1">
        <v>45689</v>
      </c>
      <c r="B432" t="s">
        <v>80</v>
      </c>
      <c r="C432" t="s">
        <v>36</v>
      </c>
      <c r="D432">
        <v>1.76</v>
      </c>
      <c r="E432">
        <v>307.45</v>
      </c>
      <c r="F432">
        <v>0.01</v>
      </c>
      <c r="G432">
        <v>0.01</v>
      </c>
      <c r="H432">
        <v>1747</v>
      </c>
      <c r="I432">
        <v>36</v>
      </c>
    </row>
    <row r="433" spans="1:9" x14ac:dyDescent="0.3">
      <c r="A433" s="1">
        <v>45689</v>
      </c>
      <c r="B433" t="s">
        <v>69</v>
      </c>
      <c r="C433" t="s">
        <v>36</v>
      </c>
      <c r="D433">
        <v>1.72</v>
      </c>
      <c r="E433">
        <v>472.44</v>
      </c>
      <c r="F433">
        <v>0.01</v>
      </c>
      <c r="G433">
        <v>0.02</v>
      </c>
      <c r="H433">
        <v>2747</v>
      </c>
      <c r="I433">
        <v>37</v>
      </c>
    </row>
    <row r="434" spans="1:9" x14ac:dyDescent="0.3">
      <c r="A434" s="1">
        <v>45689</v>
      </c>
      <c r="B434" t="s">
        <v>71</v>
      </c>
      <c r="C434" t="s">
        <v>36</v>
      </c>
      <c r="D434">
        <v>1.57</v>
      </c>
      <c r="E434">
        <v>216.84</v>
      </c>
      <c r="F434">
        <v>0.01</v>
      </c>
      <c r="G434">
        <v>0.01</v>
      </c>
      <c r="H434">
        <v>1381</v>
      </c>
      <c r="I434">
        <v>38</v>
      </c>
    </row>
    <row r="435" spans="1:9" x14ac:dyDescent="0.3">
      <c r="A435" s="1">
        <v>45689</v>
      </c>
      <c r="B435" t="s">
        <v>68</v>
      </c>
      <c r="C435" t="s">
        <v>36</v>
      </c>
      <c r="D435">
        <v>1.41</v>
      </c>
      <c r="E435">
        <v>93.44</v>
      </c>
      <c r="F435">
        <v>0.01</v>
      </c>
      <c r="G435">
        <v>0</v>
      </c>
      <c r="H435">
        <v>663</v>
      </c>
      <c r="I435">
        <v>39</v>
      </c>
    </row>
    <row r="436" spans="1:9" x14ac:dyDescent="0.3">
      <c r="A436" s="1">
        <v>45689</v>
      </c>
      <c r="B436" t="s">
        <v>70</v>
      </c>
      <c r="C436" t="s">
        <v>36</v>
      </c>
      <c r="D436">
        <v>1.36</v>
      </c>
      <c r="E436">
        <v>233.31</v>
      </c>
      <c r="F436">
        <v>0.01</v>
      </c>
      <c r="G436">
        <v>0.01</v>
      </c>
      <c r="H436">
        <v>1716</v>
      </c>
      <c r="I436">
        <v>40</v>
      </c>
    </row>
    <row r="437" spans="1:9" x14ac:dyDescent="0.3">
      <c r="A437" s="1">
        <v>45689</v>
      </c>
      <c r="B437" t="s">
        <v>81</v>
      </c>
      <c r="C437" t="s">
        <v>36</v>
      </c>
      <c r="D437">
        <v>1.1599999999999999</v>
      </c>
      <c r="E437">
        <v>81.099999999999994</v>
      </c>
      <c r="F437">
        <v>0.01</v>
      </c>
      <c r="G437">
        <v>0</v>
      </c>
      <c r="H437">
        <v>699</v>
      </c>
      <c r="I437">
        <v>41</v>
      </c>
    </row>
    <row r="438" spans="1:9" x14ac:dyDescent="0.3">
      <c r="A438" s="1">
        <v>45689</v>
      </c>
      <c r="B438" t="s">
        <v>83</v>
      </c>
      <c r="C438" t="s">
        <v>36</v>
      </c>
      <c r="D438">
        <v>1.1200000000000001</v>
      </c>
      <c r="E438">
        <v>193.28</v>
      </c>
      <c r="F438">
        <v>0.01</v>
      </c>
      <c r="G438">
        <v>0.01</v>
      </c>
      <c r="H438">
        <v>1726</v>
      </c>
      <c r="I438">
        <v>42</v>
      </c>
    </row>
    <row r="439" spans="1:9" x14ac:dyDescent="0.3">
      <c r="A439" s="1">
        <v>45689</v>
      </c>
      <c r="B439" t="s">
        <v>82</v>
      </c>
      <c r="C439" t="s">
        <v>36</v>
      </c>
      <c r="D439">
        <v>1.01</v>
      </c>
      <c r="E439">
        <v>155.81</v>
      </c>
      <c r="F439">
        <v>0.01</v>
      </c>
      <c r="G439">
        <v>0.01</v>
      </c>
      <c r="H439">
        <v>1543</v>
      </c>
      <c r="I439">
        <v>43</v>
      </c>
    </row>
    <row r="440" spans="1:9" x14ac:dyDescent="0.3">
      <c r="A440" s="1">
        <v>45689</v>
      </c>
      <c r="B440" t="s">
        <v>75</v>
      </c>
      <c r="C440" t="s">
        <v>36</v>
      </c>
      <c r="D440">
        <v>1</v>
      </c>
      <c r="E440">
        <v>202.69</v>
      </c>
      <c r="F440">
        <v>0.01</v>
      </c>
      <c r="G440">
        <v>0.01</v>
      </c>
      <c r="H440">
        <v>2027</v>
      </c>
      <c r="I440">
        <v>44</v>
      </c>
    </row>
    <row r="441" spans="1:9" x14ac:dyDescent="0.3">
      <c r="A441" s="1">
        <v>45689</v>
      </c>
      <c r="B441" t="s">
        <v>76</v>
      </c>
      <c r="C441" t="s">
        <v>36</v>
      </c>
      <c r="D441">
        <v>0.82</v>
      </c>
      <c r="E441">
        <v>186.7</v>
      </c>
      <c r="F441">
        <v>0.01</v>
      </c>
      <c r="G441">
        <v>0.01</v>
      </c>
      <c r="H441">
        <v>2277</v>
      </c>
      <c r="I441">
        <v>45</v>
      </c>
    </row>
    <row r="442" spans="1:9" x14ac:dyDescent="0.3">
      <c r="A442" s="1">
        <v>45689</v>
      </c>
      <c r="B442" t="s">
        <v>115</v>
      </c>
      <c r="C442" t="s">
        <v>36</v>
      </c>
      <c r="D442">
        <v>0.78</v>
      </c>
      <c r="E442">
        <v>357.98</v>
      </c>
      <c r="F442">
        <v>0</v>
      </c>
      <c r="G442">
        <v>0.02</v>
      </c>
      <c r="H442">
        <v>4589</v>
      </c>
      <c r="I442">
        <v>46</v>
      </c>
    </row>
    <row r="443" spans="1:9" x14ac:dyDescent="0.3">
      <c r="A443" s="1">
        <v>45689</v>
      </c>
      <c r="B443" t="s">
        <v>72</v>
      </c>
      <c r="C443" t="s">
        <v>36</v>
      </c>
      <c r="D443">
        <v>0.7</v>
      </c>
      <c r="E443">
        <v>29.68</v>
      </c>
      <c r="F443">
        <v>0</v>
      </c>
      <c r="G443">
        <v>0</v>
      </c>
      <c r="H443">
        <v>424</v>
      </c>
      <c r="I443">
        <v>47</v>
      </c>
    </row>
    <row r="444" spans="1:9" x14ac:dyDescent="0.3">
      <c r="A444" s="1">
        <v>45689</v>
      </c>
      <c r="B444" t="s">
        <v>79</v>
      </c>
      <c r="C444" t="s">
        <v>36</v>
      </c>
      <c r="D444">
        <v>0.68</v>
      </c>
      <c r="E444">
        <v>208.81</v>
      </c>
      <c r="F444">
        <v>0</v>
      </c>
      <c r="G444">
        <v>0.01</v>
      </c>
      <c r="H444">
        <v>3071</v>
      </c>
      <c r="I444">
        <v>48</v>
      </c>
    </row>
    <row r="445" spans="1:9" x14ac:dyDescent="0.3">
      <c r="A445" s="1">
        <v>45689</v>
      </c>
      <c r="B445" t="s">
        <v>73</v>
      </c>
      <c r="C445" t="s">
        <v>36</v>
      </c>
      <c r="D445">
        <v>0.67</v>
      </c>
      <c r="E445">
        <v>225.15</v>
      </c>
      <c r="F445">
        <v>0</v>
      </c>
      <c r="G445">
        <v>0.01</v>
      </c>
      <c r="H445">
        <v>3360</v>
      </c>
      <c r="I445">
        <v>49</v>
      </c>
    </row>
    <row r="446" spans="1:9" x14ac:dyDescent="0.3">
      <c r="A446" s="1">
        <v>45689</v>
      </c>
      <c r="B446" t="s">
        <v>100</v>
      </c>
      <c r="C446" t="s">
        <v>36</v>
      </c>
      <c r="D446">
        <v>0.66</v>
      </c>
      <c r="E446">
        <v>742.49</v>
      </c>
      <c r="F446">
        <v>0</v>
      </c>
      <c r="G446">
        <v>0.03</v>
      </c>
      <c r="H446">
        <v>11250</v>
      </c>
      <c r="I446">
        <v>50</v>
      </c>
    </row>
    <row r="447" spans="1:9" x14ac:dyDescent="0.3">
      <c r="A447" s="1">
        <v>45689</v>
      </c>
      <c r="B447" t="s">
        <v>98</v>
      </c>
      <c r="C447" t="s">
        <v>36</v>
      </c>
      <c r="D447">
        <v>0.62</v>
      </c>
      <c r="E447">
        <v>41.42</v>
      </c>
      <c r="F447">
        <v>0</v>
      </c>
      <c r="G447">
        <v>0</v>
      </c>
      <c r="H447">
        <v>668</v>
      </c>
      <c r="I447">
        <v>51</v>
      </c>
    </row>
    <row r="448" spans="1:9" x14ac:dyDescent="0.3">
      <c r="A448" s="1">
        <v>45689</v>
      </c>
      <c r="B448" t="s">
        <v>74</v>
      </c>
      <c r="C448" t="s">
        <v>36</v>
      </c>
      <c r="D448">
        <v>0.62</v>
      </c>
      <c r="E448">
        <v>178.11</v>
      </c>
      <c r="F448">
        <v>0</v>
      </c>
      <c r="G448">
        <v>0.01</v>
      </c>
      <c r="H448">
        <v>2873</v>
      </c>
      <c r="I448">
        <v>51</v>
      </c>
    </row>
    <row r="449" spans="1:9" x14ac:dyDescent="0.3">
      <c r="A449" s="1">
        <v>45689</v>
      </c>
      <c r="B449" t="s">
        <v>64</v>
      </c>
      <c r="C449" t="s">
        <v>36</v>
      </c>
      <c r="D449">
        <v>0.61</v>
      </c>
      <c r="E449">
        <v>168.69</v>
      </c>
      <c r="F449">
        <v>0</v>
      </c>
      <c r="G449">
        <v>0.01</v>
      </c>
      <c r="H449">
        <v>2765</v>
      </c>
      <c r="I449">
        <v>53</v>
      </c>
    </row>
    <row r="450" spans="1:9" x14ac:dyDescent="0.3">
      <c r="A450" s="1">
        <v>45689</v>
      </c>
      <c r="B450" t="s">
        <v>77</v>
      </c>
      <c r="C450" t="s">
        <v>36</v>
      </c>
      <c r="D450">
        <v>0.53</v>
      </c>
      <c r="E450">
        <v>68.540000000000006</v>
      </c>
      <c r="F450">
        <v>0</v>
      </c>
      <c r="G450">
        <v>0</v>
      </c>
      <c r="H450">
        <v>1293</v>
      </c>
      <c r="I450">
        <v>54</v>
      </c>
    </row>
    <row r="451" spans="1:9" x14ac:dyDescent="0.3">
      <c r="A451" s="1">
        <v>45689</v>
      </c>
      <c r="B451" t="s">
        <v>78</v>
      </c>
      <c r="C451" t="s">
        <v>36</v>
      </c>
      <c r="D451">
        <v>0.49</v>
      </c>
      <c r="E451">
        <v>148.93</v>
      </c>
      <c r="F451">
        <v>0</v>
      </c>
      <c r="G451">
        <v>0.01</v>
      </c>
      <c r="H451">
        <v>3039</v>
      </c>
      <c r="I451">
        <v>55</v>
      </c>
    </row>
    <row r="452" spans="1:9" x14ac:dyDescent="0.3">
      <c r="A452" s="1">
        <v>45689</v>
      </c>
      <c r="B452" t="s">
        <v>84</v>
      </c>
      <c r="C452" t="s">
        <v>36</v>
      </c>
      <c r="D452">
        <v>0.35</v>
      </c>
      <c r="E452">
        <v>89.18</v>
      </c>
      <c r="F452">
        <v>0</v>
      </c>
      <c r="G452">
        <v>0</v>
      </c>
      <c r="H452">
        <v>2548</v>
      </c>
      <c r="I452">
        <v>56</v>
      </c>
    </row>
    <row r="453" spans="1:9" x14ac:dyDescent="0.3">
      <c r="A453" s="1">
        <v>45689</v>
      </c>
      <c r="B453" t="s">
        <v>102</v>
      </c>
      <c r="C453" t="s">
        <v>36</v>
      </c>
      <c r="D453">
        <v>0.3</v>
      </c>
      <c r="E453">
        <v>15.64</v>
      </c>
      <c r="F453">
        <v>0</v>
      </c>
      <c r="G453">
        <v>0</v>
      </c>
      <c r="H453">
        <v>521</v>
      </c>
      <c r="I453">
        <v>57</v>
      </c>
    </row>
    <row r="454" spans="1:9" x14ac:dyDescent="0.3">
      <c r="A454" s="1">
        <v>45689</v>
      </c>
      <c r="B454" t="s">
        <v>85</v>
      </c>
      <c r="C454" t="s">
        <v>36</v>
      </c>
      <c r="D454">
        <v>0.3</v>
      </c>
      <c r="E454">
        <v>92.32</v>
      </c>
      <c r="F454">
        <v>0</v>
      </c>
      <c r="G454">
        <v>0</v>
      </c>
      <c r="H454">
        <v>3077</v>
      </c>
      <c r="I454">
        <v>57</v>
      </c>
    </row>
    <row r="455" spans="1:9" x14ac:dyDescent="0.3">
      <c r="A455" s="1">
        <v>45689</v>
      </c>
      <c r="B455" t="s">
        <v>86</v>
      </c>
      <c r="C455" t="s">
        <v>36</v>
      </c>
      <c r="D455">
        <v>0.27</v>
      </c>
      <c r="E455">
        <v>67.2</v>
      </c>
      <c r="F455">
        <v>0</v>
      </c>
      <c r="G455">
        <v>0</v>
      </c>
      <c r="H455">
        <v>2489</v>
      </c>
      <c r="I455">
        <v>59</v>
      </c>
    </row>
    <row r="456" spans="1:9" x14ac:dyDescent="0.3">
      <c r="A456" s="1">
        <v>45689</v>
      </c>
      <c r="B456" t="s">
        <v>109</v>
      </c>
      <c r="C456" t="s">
        <v>36</v>
      </c>
      <c r="D456">
        <v>0.27</v>
      </c>
      <c r="E456">
        <v>26.81</v>
      </c>
      <c r="F456">
        <v>0</v>
      </c>
      <c r="G456">
        <v>0</v>
      </c>
      <c r="H456">
        <v>993</v>
      </c>
      <c r="I456">
        <v>59</v>
      </c>
    </row>
    <row r="457" spans="1:9" x14ac:dyDescent="0.3">
      <c r="A457" s="1">
        <v>45689</v>
      </c>
      <c r="B457" t="s">
        <v>89</v>
      </c>
      <c r="C457" t="s">
        <v>36</v>
      </c>
      <c r="D457">
        <v>0.24</v>
      </c>
      <c r="E457">
        <v>75.45</v>
      </c>
      <c r="F457">
        <v>0</v>
      </c>
      <c r="G457">
        <v>0</v>
      </c>
      <c r="H457">
        <v>3144</v>
      </c>
      <c r="I457">
        <v>61</v>
      </c>
    </row>
    <row r="458" spans="1:9" x14ac:dyDescent="0.3">
      <c r="A458" s="1">
        <v>45689</v>
      </c>
      <c r="B458" t="s">
        <v>88</v>
      </c>
      <c r="C458" t="s">
        <v>36</v>
      </c>
      <c r="D458">
        <v>0.23</v>
      </c>
      <c r="E458">
        <v>50.92</v>
      </c>
      <c r="F458">
        <v>0</v>
      </c>
      <c r="G458">
        <v>0</v>
      </c>
      <c r="H458">
        <v>2214</v>
      </c>
      <c r="I458">
        <v>62</v>
      </c>
    </row>
    <row r="459" spans="1:9" x14ac:dyDescent="0.3">
      <c r="A459" s="1">
        <v>45689</v>
      </c>
      <c r="B459" t="s">
        <v>87</v>
      </c>
      <c r="C459" t="s">
        <v>36</v>
      </c>
      <c r="D459">
        <v>0.2</v>
      </c>
      <c r="E459">
        <v>114.12</v>
      </c>
      <c r="F459">
        <v>0</v>
      </c>
      <c r="G459">
        <v>0.01</v>
      </c>
      <c r="H459">
        <v>5706</v>
      </c>
      <c r="I459">
        <v>63</v>
      </c>
    </row>
    <row r="460" spans="1:9" x14ac:dyDescent="0.3">
      <c r="A460" s="1">
        <v>45689</v>
      </c>
      <c r="B460" t="s">
        <v>90</v>
      </c>
      <c r="C460" t="s">
        <v>36</v>
      </c>
      <c r="D460">
        <v>0.15</v>
      </c>
      <c r="E460">
        <v>7.35</v>
      </c>
      <c r="F460">
        <v>0</v>
      </c>
      <c r="G460">
        <v>0</v>
      </c>
      <c r="H460">
        <v>490</v>
      </c>
      <c r="I460">
        <v>64</v>
      </c>
    </row>
    <row r="461" spans="1:9" x14ac:dyDescent="0.3">
      <c r="A461" s="1">
        <v>45689</v>
      </c>
      <c r="B461" t="s">
        <v>112</v>
      </c>
      <c r="C461" t="s">
        <v>36</v>
      </c>
      <c r="D461">
        <v>0.15</v>
      </c>
      <c r="E461">
        <v>15.33</v>
      </c>
      <c r="F461">
        <v>0</v>
      </c>
      <c r="G461">
        <v>0</v>
      </c>
      <c r="H461">
        <v>1022</v>
      </c>
      <c r="I461">
        <v>64</v>
      </c>
    </row>
    <row r="462" spans="1:9" x14ac:dyDescent="0.3">
      <c r="A462" s="1">
        <v>45689</v>
      </c>
      <c r="B462" t="s">
        <v>99</v>
      </c>
      <c r="C462" t="s">
        <v>36</v>
      </c>
      <c r="D462">
        <v>0.13</v>
      </c>
      <c r="E462">
        <v>4.6399999999999997</v>
      </c>
      <c r="F462">
        <v>0</v>
      </c>
      <c r="G462">
        <v>0</v>
      </c>
      <c r="H462">
        <v>357</v>
      </c>
      <c r="I462">
        <v>66</v>
      </c>
    </row>
    <row r="463" spans="1:9" x14ac:dyDescent="0.3">
      <c r="A463" s="1">
        <v>45689</v>
      </c>
      <c r="B463" t="s">
        <v>114</v>
      </c>
      <c r="C463" t="s">
        <v>36</v>
      </c>
      <c r="D463">
        <v>0.12</v>
      </c>
      <c r="E463">
        <v>16.73</v>
      </c>
      <c r="F463">
        <v>0</v>
      </c>
      <c r="G463">
        <v>0</v>
      </c>
      <c r="H463">
        <v>1394</v>
      </c>
      <c r="I463">
        <v>67</v>
      </c>
    </row>
    <row r="464" spans="1:9" x14ac:dyDescent="0.3">
      <c r="A464" s="1">
        <v>45689</v>
      </c>
      <c r="B464" t="s">
        <v>97</v>
      </c>
      <c r="C464" t="s">
        <v>36</v>
      </c>
      <c r="D464">
        <v>0.12</v>
      </c>
      <c r="E464">
        <v>14.62</v>
      </c>
      <c r="F464">
        <v>0</v>
      </c>
      <c r="G464">
        <v>0</v>
      </c>
      <c r="H464">
        <v>1218</v>
      </c>
      <c r="I464">
        <v>67</v>
      </c>
    </row>
    <row r="465" spans="1:9" x14ac:dyDescent="0.3">
      <c r="A465" s="1">
        <v>45689</v>
      </c>
      <c r="B465" t="s">
        <v>113</v>
      </c>
      <c r="C465" t="s">
        <v>36</v>
      </c>
      <c r="D465">
        <v>0.1</v>
      </c>
      <c r="E465">
        <v>9.8800000000000008</v>
      </c>
      <c r="F465">
        <v>0</v>
      </c>
      <c r="G465">
        <v>0</v>
      </c>
      <c r="H465">
        <v>988</v>
      </c>
      <c r="I465">
        <v>69</v>
      </c>
    </row>
    <row r="466" spans="1:9" x14ac:dyDescent="0.3">
      <c r="A466" s="1">
        <v>45689</v>
      </c>
      <c r="B466" t="s">
        <v>92</v>
      </c>
      <c r="C466" t="s">
        <v>36</v>
      </c>
      <c r="D466">
        <v>0.09</v>
      </c>
      <c r="E466">
        <v>46.26</v>
      </c>
      <c r="F466">
        <v>0</v>
      </c>
      <c r="G466">
        <v>0</v>
      </c>
      <c r="H466">
        <v>5140</v>
      </c>
      <c r="I466">
        <v>70</v>
      </c>
    </row>
    <row r="467" spans="1:9" x14ac:dyDescent="0.3">
      <c r="A467" s="1">
        <v>45689</v>
      </c>
      <c r="B467" t="s">
        <v>93</v>
      </c>
      <c r="C467" t="s">
        <v>36</v>
      </c>
      <c r="D467">
        <v>0.09</v>
      </c>
      <c r="E467">
        <v>32.229999999999997</v>
      </c>
      <c r="F467">
        <v>0</v>
      </c>
      <c r="G467">
        <v>0</v>
      </c>
      <c r="H467">
        <v>3581</v>
      </c>
      <c r="I467">
        <v>70</v>
      </c>
    </row>
    <row r="468" spans="1:9" x14ac:dyDescent="0.3">
      <c r="A468" s="1">
        <v>45689</v>
      </c>
      <c r="B468" t="s">
        <v>91</v>
      </c>
      <c r="C468" t="s">
        <v>36</v>
      </c>
      <c r="D468">
        <v>0.09</v>
      </c>
      <c r="E468">
        <v>6.62</v>
      </c>
      <c r="F468">
        <v>0</v>
      </c>
      <c r="G468">
        <v>0</v>
      </c>
      <c r="H468">
        <v>736</v>
      </c>
      <c r="I468">
        <v>70</v>
      </c>
    </row>
    <row r="469" spans="1:9" x14ac:dyDescent="0.3">
      <c r="A469" s="1">
        <v>45689</v>
      </c>
      <c r="B469" t="s">
        <v>95</v>
      </c>
      <c r="C469" t="s">
        <v>36</v>
      </c>
      <c r="D469">
        <v>0.08</v>
      </c>
      <c r="E469">
        <v>28.98</v>
      </c>
      <c r="F469">
        <v>0</v>
      </c>
      <c r="G469">
        <v>0</v>
      </c>
      <c r="H469">
        <v>3623</v>
      </c>
      <c r="I469">
        <v>73</v>
      </c>
    </row>
    <row r="470" spans="1:9" x14ac:dyDescent="0.3">
      <c r="A470" s="1">
        <v>45689</v>
      </c>
      <c r="B470" t="s">
        <v>101</v>
      </c>
      <c r="C470" t="s">
        <v>36</v>
      </c>
      <c r="D470">
        <v>0.08</v>
      </c>
      <c r="E470">
        <v>28.6</v>
      </c>
      <c r="F470">
        <v>0</v>
      </c>
      <c r="G470">
        <v>0</v>
      </c>
      <c r="H470">
        <v>3575</v>
      </c>
      <c r="I470">
        <v>73</v>
      </c>
    </row>
    <row r="471" spans="1:9" x14ac:dyDescent="0.3">
      <c r="A471" s="1">
        <v>45689</v>
      </c>
      <c r="B471" t="s">
        <v>96</v>
      </c>
      <c r="C471" t="s">
        <v>36</v>
      </c>
      <c r="D471">
        <v>0.08</v>
      </c>
      <c r="E471">
        <v>26.47</v>
      </c>
      <c r="F471">
        <v>0</v>
      </c>
      <c r="G471">
        <v>0</v>
      </c>
      <c r="H471">
        <v>3309</v>
      </c>
      <c r="I471">
        <v>73</v>
      </c>
    </row>
    <row r="472" spans="1:9" x14ac:dyDescent="0.3">
      <c r="A472" s="1">
        <v>45689</v>
      </c>
      <c r="B472" t="s">
        <v>94</v>
      </c>
      <c r="C472" t="s">
        <v>36</v>
      </c>
      <c r="D472">
        <v>0.08</v>
      </c>
      <c r="E472">
        <v>8.1199999999999992</v>
      </c>
      <c r="F472">
        <v>0</v>
      </c>
      <c r="G472">
        <v>0</v>
      </c>
      <c r="H472">
        <v>1015</v>
      </c>
      <c r="I472">
        <v>73</v>
      </c>
    </row>
    <row r="473" spans="1:9" x14ac:dyDescent="0.3">
      <c r="A473" s="1">
        <v>45689</v>
      </c>
      <c r="B473" t="s">
        <v>111</v>
      </c>
      <c r="C473" t="s">
        <v>36</v>
      </c>
      <c r="D473">
        <v>7.0000000000000007E-2</v>
      </c>
      <c r="E473">
        <v>24.26</v>
      </c>
      <c r="F473">
        <v>0</v>
      </c>
      <c r="G473">
        <v>0</v>
      </c>
      <c r="H473">
        <v>3466</v>
      </c>
      <c r="I473">
        <v>77</v>
      </c>
    </row>
    <row r="474" spans="1:9" x14ac:dyDescent="0.3">
      <c r="A474" s="1">
        <v>45689</v>
      </c>
      <c r="B474" t="s">
        <v>103</v>
      </c>
      <c r="C474" t="s">
        <v>36</v>
      </c>
      <c r="D474">
        <v>0.04</v>
      </c>
      <c r="E474">
        <v>2.36</v>
      </c>
      <c r="F474">
        <v>0</v>
      </c>
      <c r="G474">
        <v>0</v>
      </c>
      <c r="H474">
        <v>590</v>
      </c>
      <c r="I474">
        <v>78</v>
      </c>
    </row>
    <row r="475" spans="1:9" x14ac:dyDescent="0.3">
      <c r="A475" s="1">
        <v>45689</v>
      </c>
      <c r="B475" t="s">
        <v>110</v>
      </c>
      <c r="C475" t="s">
        <v>36</v>
      </c>
      <c r="D475">
        <v>0.03</v>
      </c>
      <c r="E475">
        <v>2.44</v>
      </c>
      <c r="F475">
        <v>0</v>
      </c>
      <c r="G475">
        <v>0</v>
      </c>
      <c r="H475">
        <v>813</v>
      </c>
      <c r="I475">
        <v>79</v>
      </c>
    </row>
    <row r="476" spans="1:9" x14ac:dyDescent="0.3">
      <c r="A476" s="1">
        <v>45689</v>
      </c>
      <c r="B476" t="s">
        <v>104</v>
      </c>
      <c r="C476" t="s">
        <v>36</v>
      </c>
      <c r="D476">
        <v>0.03</v>
      </c>
      <c r="E476">
        <v>9.76</v>
      </c>
      <c r="F476">
        <v>0</v>
      </c>
      <c r="G476">
        <v>0</v>
      </c>
      <c r="H476">
        <v>3253</v>
      </c>
      <c r="I476">
        <v>79</v>
      </c>
    </row>
    <row r="477" spans="1:9" x14ac:dyDescent="0.3">
      <c r="A477" s="1">
        <v>45689</v>
      </c>
      <c r="B477" t="s">
        <v>116</v>
      </c>
      <c r="C477" t="s">
        <v>36</v>
      </c>
      <c r="D477">
        <v>0.02</v>
      </c>
      <c r="E477">
        <v>9.0299999999999994</v>
      </c>
      <c r="F477">
        <v>0</v>
      </c>
      <c r="G477">
        <v>0</v>
      </c>
      <c r="H477">
        <v>4515</v>
      </c>
      <c r="I477">
        <v>81</v>
      </c>
    </row>
    <row r="478" spans="1:9" x14ac:dyDescent="0.3">
      <c r="A478" s="1">
        <v>45717</v>
      </c>
      <c r="B478" t="s">
        <v>32</v>
      </c>
      <c r="C478" t="s">
        <v>32</v>
      </c>
      <c r="D478">
        <v>8647.7800000000007</v>
      </c>
      <c r="E478">
        <v>1257075.54</v>
      </c>
      <c r="F478">
        <v>47.25</v>
      </c>
      <c r="G478">
        <v>50.75</v>
      </c>
      <c r="H478">
        <v>1454</v>
      </c>
      <c r="I478">
        <v>1</v>
      </c>
    </row>
    <row r="479" spans="1:9" x14ac:dyDescent="0.3">
      <c r="A479" s="1">
        <v>45717</v>
      </c>
      <c r="B479" t="s">
        <v>33</v>
      </c>
      <c r="C479" t="s">
        <v>33</v>
      </c>
      <c r="D479">
        <v>6596.76</v>
      </c>
      <c r="E479">
        <v>866568.18</v>
      </c>
      <c r="F479">
        <v>36.04</v>
      </c>
      <c r="G479">
        <v>34.979999999999997</v>
      </c>
      <c r="H479">
        <v>1314</v>
      </c>
      <c r="I479">
        <v>2</v>
      </c>
    </row>
    <row r="480" spans="1:9" x14ac:dyDescent="0.3">
      <c r="A480" s="1">
        <v>45717</v>
      </c>
      <c r="B480" t="s">
        <v>34</v>
      </c>
      <c r="C480" t="s">
        <v>34</v>
      </c>
      <c r="D480">
        <v>1221.1199999999999</v>
      </c>
      <c r="E480">
        <v>132912.04</v>
      </c>
      <c r="F480">
        <v>6.67</v>
      </c>
      <c r="G480">
        <v>5.37</v>
      </c>
      <c r="H480">
        <v>1088</v>
      </c>
      <c r="I480">
        <v>3</v>
      </c>
    </row>
    <row r="481" spans="1:9" x14ac:dyDescent="0.3">
      <c r="A481" s="1">
        <v>45717</v>
      </c>
      <c r="B481" t="s">
        <v>37</v>
      </c>
      <c r="C481" t="s">
        <v>36</v>
      </c>
      <c r="D481">
        <v>324.42</v>
      </c>
      <c r="E481">
        <v>18018.650000000001</v>
      </c>
      <c r="F481">
        <v>1.77</v>
      </c>
      <c r="G481">
        <v>0.73</v>
      </c>
      <c r="H481">
        <v>555</v>
      </c>
      <c r="I481">
        <v>4</v>
      </c>
    </row>
    <row r="482" spans="1:9" x14ac:dyDescent="0.3">
      <c r="A482" s="1">
        <v>45717</v>
      </c>
      <c r="B482" t="s">
        <v>47</v>
      </c>
      <c r="C482" t="s">
        <v>36</v>
      </c>
      <c r="D482">
        <v>171.75</v>
      </c>
      <c r="E482">
        <v>5933.08</v>
      </c>
      <c r="F482">
        <v>0.94</v>
      </c>
      <c r="G482">
        <v>0.24</v>
      </c>
      <c r="H482">
        <v>345</v>
      </c>
      <c r="I482">
        <v>5</v>
      </c>
    </row>
    <row r="483" spans="1:9" x14ac:dyDescent="0.3">
      <c r="A483" s="1">
        <v>45717</v>
      </c>
      <c r="B483" t="s">
        <v>38</v>
      </c>
      <c r="C483" t="s">
        <v>36</v>
      </c>
      <c r="D483">
        <v>145.78</v>
      </c>
      <c r="E483">
        <v>9966.5300000000007</v>
      </c>
      <c r="F483">
        <v>0.8</v>
      </c>
      <c r="G483">
        <v>0.4</v>
      </c>
      <c r="H483">
        <v>684</v>
      </c>
      <c r="I483">
        <v>6</v>
      </c>
    </row>
    <row r="484" spans="1:9" x14ac:dyDescent="0.3">
      <c r="A484" s="1">
        <v>45717</v>
      </c>
      <c r="B484" t="s">
        <v>35</v>
      </c>
      <c r="C484" t="s">
        <v>36</v>
      </c>
      <c r="D484">
        <v>144.82</v>
      </c>
      <c r="E484">
        <v>55091.22</v>
      </c>
      <c r="F484">
        <v>0.79</v>
      </c>
      <c r="G484">
        <v>2.2200000000000002</v>
      </c>
      <c r="H484">
        <v>3804</v>
      </c>
      <c r="I484">
        <v>7</v>
      </c>
    </row>
    <row r="485" spans="1:9" x14ac:dyDescent="0.3">
      <c r="A485" s="1">
        <v>45717</v>
      </c>
      <c r="B485" t="s">
        <v>39</v>
      </c>
      <c r="C485" t="s">
        <v>36</v>
      </c>
      <c r="D485">
        <v>111.06</v>
      </c>
      <c r="E485">
        <v>10606.66</v>
      </c>
      <c r="F485">
        <v>0.61</v>
      </c>
      <c r="G485">
        <v>0.43</v>
      </c>
      <c r="H485">
        <v>955</v>
      </c>
      <c r="I485">
        <v>8</v>
      </c>
    </row>
    <row r="486" spans="1:9" x14ac:dyDescent="0.3">
      <c r="A486" s="1">
        <v>45717</v>
      </c>
      <c r="B486" t="s">
        <v>40</v>
      </c>
      <c r="C486" t="s">
        <v>36</v>
      </c>
      <c r="D486">
        <v>89.94</v>
      </c>
      <c r="E486">
        <v>1099.28</v>
      </c>
      <c r="F486">
        <v>0.49</v>
      </c>
      <c r="G486">
        <v>0.04</v>
      </c>
      <c r="H486">
        <v>122</v>
      </c>
      <c r="I486">
        <v>9</v>
      </c>
    </row>
    <row r="487" spans="1:9" x14ac:dyDescent="0.3">
      <c r="A487" s="1">
        <v>45717</v>
      </c>
      <c r="B487" t="s">
        <v>41</v>
      </c>
      <c r="C487" t="s">
        <v>36</v>
      </c>
      <c r="D487">
        <v>67.63</v>
      </c>
      <c r="E487">
        <v>16696.939999999999</v>
      </c>
      <c r="F487">
        <v>0.37</v>
      </c>
      <c r="G487">
        <v>0.67</v>
      </c>
      <c r="H487">
        <v>2469</v>
      </c>
      <c r="I487">
        <v>10</v>
      </c>
    </row>
    <row r="488" spans="1:9" x14ac:dyDescent="0.3">
      <c r="A488" s="1">
        <v>45717</v>
      </c>
      <c r="B488" t="s">
        <v>42</v>
      </c>
      <c r="C488" t="s">
        <v>36</v>
      </c>
      <c r="D488">
        <v>66.23</v>
      </c>
      <c r="E488">
        <v>4958.25</v>
      </c>
      <c r="F488">
        <v>0.36</v>
      </c>
      <c r="G488">
        <v>0.2</v>
      </c>
      <c r="H488">
        <v>749</v>
      </c>
      <c r="I488">
        <v>11</v>
      </c>
    </row>
    <row r="489" spans="1:9" x14ac:dyDescent="0.3">
      <c r="A489" s="1">
        <v>45717</v>
      </c>
      <c r="B489" t="s">
        <v>44</v>
      </c>
      <c r="C489" t="s">
        <v>36</v>
      </c>
      <c r="D489">
        <v>60.94</v>
      </c>
      <c r="E489">
        <v>11789.9</v>
      </c>
      <c r="F489">
        <v>0.33</v>
      </c>
      <c r="G489">
        <v>0.48</v>
      </c>
      <c r="H489">
        <v>1935</v>
      </c>
      <c r="I489">
        <v>12</v>
      </c>
    </row>
    <row r="490" spans="1:9" x14ac:dyDescent="0.3">
      <c r="A490" s="1">
        <v>45717</v>
      </c>
      <c r="B490" t="s">
        <v>43</v>
      </c>
      <c r="C490" t="s">
        <v>36</v>
      </c>
      <c r="D490">
        <v>57.05</v>
      </c>
      <c r="E490">
        <v>7737.14</v>
      </c>
      <c r="F490">
        <v>0.31</v>
      </c>
      <c r="G490">
        <v>0.31</v>
      </c>
      <c r="H490">
        <v>1356</v>
      </c>
      <c r="I490">
        <v>13</v>
      </c>
    </row>
    <row r="491" spans="1:9" x14ac:dyDescent="0.3">
      <c r="A491" s="1">
        <v>45717</v>
      </c>
      <c r="B491" t="s">
        <v>46</v>
      </c>
      <c r="C491" t="s">
        <v>36</v>
      </c>
      <c r="D491">
        <v>46.13</v>
      </c>
      <c r="E491">
        <v>9540.09</v>
      </c>
      <c r="F491">
        <v>0.25</v>
      </c>
      <c r="G491">
        <v>0.39</v>
      </c>
      <c r="H491">
        <v>2068</v>
      </c>
      <c r="I491">
        <v>14</v>
      </c>
    </row>
    <row r="492" spans="1:9" x14ac:dyDescent="0.3">
      <c r="A492" s="1">
        <v>45717</v>
      </c>
      <c r="B492" t="s">
        <v>45</v>
      </c>
      <c r="C492" t="s">
        <v>36</v>
      </c>
      <c r="D492">
        <v>44.03</v>
      </c>
      <c r="E492">
        <v>9388.85</v>
      </c>
      <c r="F492">
        <v>0.24</v>
      </c>
      <c r="G492">
        <v>0.38</v>
      </c>
      <c r="H492">
        <v>2132</v>
      </c>
      <c r="I492">
        <v>15</v>
      </c>
    </row>
    <row r="493" spans="1:9" x14ac:dyDescent="0.3">
      <c r="A493" s="1">
        <v>45717</v>
      </c>
      <c r="B493" t="s">
        <v>49</v>
      </c>
      <c r="C493" t="s">
        <v>36</v>
      </c>
      <c r="D493">
        <v>29.8</v>
      </c>
      <c r="E493">
        <v>4414</v>
      </c>
      <c r="F493">
        <v>0.16</v>
      </c>
      <c r="G493">
        <v>0.18</v>
      </c>
      <c r="H493">
        <v>1481</v>
      </c>
      <c r="I493">
        <v>16</v>
      </c>
    </row>
    <row r="494" spans="1:9" x14ac:dyDescent="0.3">
      <c r="A494" s="1">
        <v>45717</v>
      </c>
      <c r="B494" t="s">
        <v>48</v>
      </c>
      <c r="C494" t="s">
        <v>36</v>
      </c>
      <c r="D494">
        <v>21.63</v>
      </c>
      <c r="E494">
        <v>1487.89</v>
      </c>
      <c r="F494">
        <v>0.12</v>
      </c>
      <c r="G494">
        <v>0.06</v>
      </c>
      <c r="H494">
        <v>688</v>
      </c>
      <c r="I494">
        <v>17</v>
      </c>
    </row>
    <row r="495" spans="1:9" x14ac:dyDescent="0.3">
      <c r="A495" s="1">
        <v>45717</v>
      </c>
      <c r="B495" t="s">
        <v>53</v>
      </c>
      <c r="C495" t="s">
        <v>36</v>
      </c>
      <c r="D495">
        <v>17.41</v>
      </c>
      <c r="E495">
        <v>2069.31</v>
      </c>
      <c r="F495">
        <v>0.1</v>
      </c>
      <c r="G495">
        <v>0.08</v>
      </c>
      <c r="H495">
        <v>1189</v>
      </c>
      <c r="I495">
        <v>18</v>
      </c>
    </row>
    <row r="496" spans="1:9" x14ac:dyDescent="0.3">
      <c r="A496" s="1">
        <v>45717</v>
      </c>
      <c r="B496" t="s">
        <v>57</v>
      </c>
      <c r="C496" t="s">
        <v>36</v>
      </c>
      <c r="D496">
        <v>16.579999999999998</v>
      </c>
      <c r="E496">
        <v>1941.73</v>
      </c>
      <c r="F496">
        <v>0.09</v>
      </c>
      <c r="G496">
        <v>0.08</v>
      </c>
      <c r="H496">
        <v>1171</v>
      </c>
      <c r="I496">
        <v>19</v>
      </c>
    </row>
    <row r="497" spans="1:9" x14ac:dyDescent="0.3">
      <c r="A497" s="1">
        <v>45717</v>
      </c>
      <c r="B497" t="s">
        <v>55</v>
      </c>
      <c r="C497" t="s">
        <v>36</v>
      </c>
      <c r="D497">
        <v>14.53</v>
      </c>
      <c r="E497">
        <v>2486.08</v>
      </c>
      <c r="F497">
        <v>0.08</v>
      </c>
      <c r="G497">
        <v>0.1</v>
      </c>
      <c r="H497">
        <v>1711</v>
      </c>
      <c r="I497">
        <v>20</v>
      </c>
    </row>
    <row r="498" spans="1:9" x14ac:dyDescent="0.3">
      <c r="A498" s="1">
        <v>45717</v>
      </c>
      <c r="B498" t="s">
        <v>54</v>
      </c>
      <c r="C498" t="s">
        <v>36</v>
      </c>
      <c r="D498">
        <v>12.61</v>
      </c>
      <c r="E498">
        <v>3418.04</v>
      </c>
      <c r="F498">
        <v>7.0000000000000007E-2</v>
      </c>
      <c r="G498">
        <v>0.14000000000000001</v>
      </c>
      <c r="H498">
        <v>2711</v>
      </c>
      <c r="I498">
        <v>21</v>
      </c>
    </row>
    <row r="499" spans="1:9" x14ac:dyDescent="0.3">
      <c r="A499" s="1">
        <v>45717</v>
      </c>
      <c r="B499" t="s">
        <v>67</v>
      </c>
      <c r="C499" t="s">
        <v>36</v>
      </c>
      <c r="D499">
        <v>12.59</v>
      </c>
      <c r="E499">
        <v>1741.69</v>
      </c>
      <c r="F499">
        <v>7.0000000000000007E-2</v>
      </c>
      <c r="G499">
        <v>7.0000000000000007E-2</v>
      </c>
      <c r="H499">
        <v>1383</v>
      </c>
      <c r="I499">
        <v>22</v>
      </c>
    </row>
    <row r="500" spans="1:9" x14ac:dyDescent="0.3">
      <c r="A500" s="1">
        <v>45717</v>
      </c>
      <c r="B500" t="s">
        <v>50</v>
      </c>
      <c r="C500" t="s">
        <v>36</v>
      </c>
      <c r="D500">
        <v>11.63</v>
      </c>
      <c r="E500">
        <v>7009.63</v>
      </c>
      <c r="F500">
        <v>0.06</v>
      </c>
      <c r="G500">
        <v>0.28000000000000003</v>
      </c>
      <c r="H500">
        <v>6027</v>
      </c>
      <c r="I500">
        <v>23</v>
      </c>
    </row>
    <row r="501" spans="1:9" x14ac:dyDescent="0.3">
      <c r="A501" s="1">
        <v>45717</v>
      </c>
      <c r="B501" t="s">
        <v>52</v>
      </c>
      <c r="C501" t="s">
        <v>36</v>
      </c>
      <c r="D501">
        <v>9.66</v>
      </c>
      <c r="E501">
        <v>1892.01</v>
      </c>
      <c r="F501">
        <v>0.05</v>
      </c>
      <c r="G501">
        <v>0.08</v>
      </c>
      <c r="H501">
        <v>1959</v>
      </c>
      <c r="I501">
        <v>24</v>
      </c>
    </row>
    <row r="502" spans="1:9" x14ac:dyDescent="0.3">
      <c r="A502" s="1">
        <v>45717</v>
      </c>
      <c r="B502" t="s">
        <v>56</v>
      </c>
      <c r="C502" t="s">
        <v>36</v>
      </c>
      <c r="D502">
        <v>8.9499999999999993</v>
      </c>
      <c r="E502">
        <v>642.73</v>
      </c>
      <c r="F502">
        <v>0.05</v>
      </c>
      <c r="G502">
        <v>0.03</v>
      </c>
      <c r="H502">
        <v>718</v>
      </c>
      <c r="I502">
        <v>25</v>
      </c>
    </row>
    <row r="503" spans="1:9" x14ac:dyDescent="0.3">
      <c r="A503" s="1">
        <v>45717</v>
      </c>
      <c r="B503" t="s">
        <v>65</v>
      </c>
      <c r="C503" t="s">
        <v>36</v>
      </c>
      <c r="D503">
        <v>8.5299999999999994</v>
      </c>
      <c r="E503">
        <v>449.95</v>
      </c>
      <c r="F503">
        <v>0.05</v>
      </c>
      <c r="G503">
        <v>0.02</v>
      </c>
      <c r="H503">
        <v>527</v>
      </c>
      <c r="I503">
        <v>26</v>
      </c>
    </row>
    <row r="504" spans="1:9" x14ac:dyDescent="0.3">
      <c r="A504" s="1">
        <v>45717</v>
      </c>
      <c r="B504" t="s">
        <v>59</v>
      </c>
      <c r="C504" t="s">
        <v>36</v>
      </c>
      <c r="D504">
        <v>6.49</v>
      </c>
      <c r="E504">
        <v>958.52</v>
      </c>
      <c r="F504">
        <v>0.04</v>
      </c>
      <c r="G504">
        <v>0.04</v>
      </c>
      <c r="H504">
        <v>1477</v>
      </c>
      <c r="I504">
        <v>27</v>
      </c>
    </row>
    <row r="505" spans="1:9" x14ac:dyDescent="0.3">
      <c r="A505" s="1">
        <v>45717</v>
      </c>
      <c r="B505" t="s">
        <v>58</v>
      </c>
      <c r="C505" t="s">
        <v>36</v>
      </c>
      <c r="D505">
        <v>4.75</v>
      </c>
      <c r="E505">
        <v>869.77</v>
      </c>
      <c r="F505">
        <v>0.03</v>
      </c>
      <c r="G505">
        <v>0.04</v>
      </c>
      <c r="H505">
        <v>1831</v>
      </c>
      <c r="I505">
        <v>28</v>
      </c>
    </row>
    <row r="506" spans="1:9" x14ac:dyDescent="0.3">
      <c r="A506" s="1">
        <v>45717</v>
      </c>
      <c r="B506" t="s">
        <v>51</v>
      </c>
      <c r="C506" t="s">
        <v>36</v>
      </c>
      <c r="D506">
        <v>4.72</v>
      </c>
      <c r="E506">
        <v>257.82</v>
      </c>
      <c r="F506">
        <v>0.03</v>
      </c>
      <c r="G506">
        <v>0.01</v>
      </c>
      <c r="H506">
        <v>546</v>
      </c>
      <c r="I506">
        <v>29</v>
      </c>
    </row>
    <row r="507" spans="1:9" x14ac:dyDescent="0.3">
      <c r="A507" s="1">
        <v>45717</v>
      </c>
      <c r="B507" t="s">
        <v>62</v>
      </c>
      <c r="C507" t="s">
        <v>36</v>
      </c>
      <c r="D507">
        <v>4.08</v>
      </c>
      <c r="E507">
        <v>318.2</v>
      </c>
      <c r="F507">
        <v>0.02</v>
      </c>
      <c r="G507">
        <v>0.01</v>
      </c>
      <c r="H507">
        <v>780</v>
      </c>
      <c r="I507">
        <v>30</v>
      </c>
    </row>
    <row r="508" spans="1:9" x14ac:dyDescent="0.3">
      <c r="A508" s="1">
        <v>45717</v>
      </c>
      <c r="B508" t="s">
        <v>61</v>
      </c>
      <c r="C508" t="s">
        <v>36</v>
      </c>
      <c r="D508">
        <v>3.75</v>
      </c>
      <c r="E508">
        <v>975.91</v>
      </c>
      <c r="F508">
        <v>0.02</v>
      </c>
      <c r="G508">
        <v>0.04</v>
      </c>
      <c r="H508">
        <v>2602</v>
      </c>
      <c r="I508">
        <v>31</v>
      </c>
    </row>
    <row r="509" spans="1:9" x14ac:dyDescent="0.3">
      <c r="A509" s="1">
        <v>45717</v>
      </c>
      <c r="B509" t="s">
        <v>60</v>
      </c>
      <c r="C509" t="s">
        <v>36</v>
      </c>
      <c r="D509">
        <v>3.62</v>
      </c>
      <c r="E509">
        <v>532.04999999999995</v>
      </c>
      <c r="F509">
        <v>0.02</v>
      </c>
      <c r="G509">
        <v>0.02</v>
      </c>
      <c r="H509">
        <v>1470</v>
      </c>
      <c r="I509">
        <v>32</v>
      </c>
    </row>
    <row r="510" spans="1:9" x14ac:dyDescent="0.3">
      <c r="A510" s="1">
        <v>45717</v>
      </c>
      <c r="B510" t="s">
        <v>63</v>
      </c>
      <c r="C510" t="s">
        <v>36</v>
      </c>
      <c r="D510">
        <v>3.38</v>
      </c>
      <c r="E510">
        <v>898.95</v>
      </c>
      <c r="F510">
        <v>0.02</v>
      </c>
      <c r="G510">
        <v>0.04</v>
      </c>
      <c r="H510">
        <v>2660</v>
      </c>
      <c r="I510">
        <v>33</v>
      </c>
    </row>
    <row r="511" spans="1:9" x14ac:dyDescent="0.3">
      <c r="A511" s="1">
        <v>45717</v>
      </c>
      <c r="B511" t="s">
        <v>108</v>
      </c>
      <c r="C511" t="s">
        <v>36</v>
      </c>
      <c r="D511">
        <v>3.25</v>
      </c>
      <c r="E511">
        <v>434.16</v>
      </c>
      <c r="F511">
        <v>0.02</v>
      </c>
      <c r="G511">
        <v>0.02</v>
      </c>
      <c r="H511">
        <v>1336</v>
      </c>
      <c r="I511">
        <v>34</v>
      </c>
    </row>
    <row r="512" spans="1:9" x14ac:dyDescent="0.3">
      <c r="A512" s="1">
        <v>45717</v>
      </c>
      <c r="B512" t="s">
        <v>66</v>
      </c>
      <c r="C512" t="s">
        <v>36</v>
      </c>
      <c r="D512">
        <v>3.07</v>
      </c>
      <c r="E512">
        <v>37.659999999999997</v>
      </c>
      <c r="F512">
        <v>0.02</v>
      </c>
      <c r="G512">
        <v>0</v>
      </c>
      <c r="H512">
        <v>123</v>
      </c>
      <c r="I512">
        <v>35</v>
      </c>
    </row>
    <row r="513" spans="1:9" x14ac:dyDescent="0.3">
      <c r="A513" s="1">
        <v>45717</v>
      </c>
      <c r="B513" t="s">
        <v>69</v>
      </c>
      <c r="C513" t="s">
        <v>36</v>
      </c>
      <c r="D513">
        <v>2.11</v>
      </c>
      <c r="E513">
        <v>588.95000000000005</v>
      </c>
      <c r="F513">
        <v>0.01</v>
      </c>
      <c r="G513">
        <v>0.02</v>
      </c>
      <c r="H513">
        <v>2791</v>
      </c>
      <c r="I513">
        <v>36</v>
      </c>
    </row>
    <row r="514" spans="1:9" x14ac:dyDescent="0.3">
      <c r="A514" s="1">
        <v>45717</v>
      </c>
      <c r="B514" t="s">
        <v>80</v>
      </c>
      <c r="C514" t="s">
        <v>36</v>
      </c>
      <c r="D514">
        <v>2.04</v>
      </c>
      <c r="E514">
        <v>346</v>
      </c>
      <c r="F514">
        <v>0.01</v>
      </c>
      <c r="G514">
        <v>0.01</v>
      </c>
      <c r="H514">
        <v>1696</v>
      </c>
      <c r="I514">
        <v>37</v>
      </c>
    </row>
    <row r="515" spans="1:9" x14ac:dyDescent="0.3">
      <c r="A515" s="1">
        <v>45717</v>
      </c>
      <c r="B515" t="s">
        <v>81</v>
      </c>
      <c r="C515" t="s">
        <v>36</v>
      </c>
      <c r="D515">
        <v>1.75</v>
      </c>
      <c r="E515">
        <v>116.77</v>
      </c>
      <c r="F515">
        <v>0.01</v>
      </c>
      <c r="G515">
        <v>0</v>
      </c>
      <c r="H515">
        <v>667</v>
      </c>
      <c r="I515">
        <v>38</v>
      </c>
    </row>
    <row r="516" spans="1:9" x14ac:dyDescent="0.3">
      <c r="A516" s="1">
        <v>45717</v>
      </c>
      <c r="B516" t="s">
        <v>71</v>
      </c>
      <c r="C516" t="s">
        <v>36</v>
      </c>
      <c r="D516">
        <v>1.75</v>
      </c>
      <c r="E516">
        <v>261.45</v>
      </c>
      <c r="F516">
        <v>0.01</v>
      </c>
      <c r="G516">
        <v>0.01</v>
      </c>
      <c r="H516">
        <v>1494</v>
      </c>
      <c r="I516">
        <v>38</v>
      </c>
    </row>
    <row r="517" spans="1:9" x14ac:dyDescent="0.3">
      <c r="A517" s="1">
        <v>45717</v>
      </c>
      <c r="B517" t="s">
        <v>68</v>
      </c>
      <c r="C517" t="s">
        <v>36</v>
      </c>
      <c r="D517">
        <v>1.59</v>
      </c>
      <c r="E517">
        <v>86.51</v>
      </c>
      <c r="F517">
        <v>0.01</v>
      </c>
      <c r="G517">
        <v>0</v>
      </c>
      <c r="H517">
        <v>544</v>
      </c>
      <c r="I517">
        <v>40</v>
      </c>
    </row>
    <row r="518" spans="1:9" x14ac:dyDescent="0.3">
      <c r="A518" s="1">
        <v>45717</v>
      </c>
      <c r="B518" t="s">
        <v>70</v>
      </c>
      <c r="C518" t="s">
        <v>36</v>
      </c>
      <c r="D518">
        <v>1.57</v>
      </c>
      <c r="E518">
        <v>268</v>
      </c>
      <c r="F518">
        <v>0.01</v>
      </c>
      <c r="G518">
        <v>0.01</v>
      </c>
      <c r="H518">
        <v>1707</v>
      </c>
      <c r="I518">
        <v>41</v>
      </c>
    </row>
    <row r="519" spans="1:9" x14ac:dyDescent="0.3">
      <c r="A519" s="1">
        <v>45717</v>
      </c>
      <c r="B519" t="s">
        <v>82</v>
      </c>
      <c r="C519" t="s">
        <v>36</v>
      </c>
      <c r="D519">
        <v>1.41</v>
      </c>
      <c r="E519">
        <v>213.93</v>
      </c>
      <c r="F519">
        <v>0.01</v>
      </c>
      <c r="G519">
        <v>0.01</v>
      </c>
      <c r="H519">
        <v>1517</v>
      </c>
      <c r="I519">
        <v>42</v>
      </c>
    </row>
    <row r="520" spans="1:9" x14ac:dyDescent="0.3">
      <c r="A520" s="1">
        <v>45717</v>
      </c>
      <c r="B520" t="s">
        <v>83</v>
      </c>
      <c r="C520" t="s">
        <v>36</v>
      </c>
      <c r="D520">
        <v>1.26</v>
      </c>
      <c r="E520">
        <v>178.92</v>
      </c>
      <c r="F520">
        <v>0.01</v>
      </c>
      <c r="G520">
        <v>0.01</v>
      </c>
      <c r="H520">
        <v>1420</v>
      </c>
      <c r="I520">
        <v>43</v>
      </c>
    </row>
    <row r="521" spans="1:9" x14ac:dyDescent="0.3">
      <c r="A521" s="1">
        <v>45717</v>
      </c>
      <c r="B521" t="s">
        <v>98</v>
      </c>
      <c r="C521" t="s">
        <v>36</v>
      </c>
      <c r="D521">
        <v>1.07</v>
      </c>
      <c r="E521">
        <v>68.67</v>
      </c>
      <c r="F521">
        <v>0.01</v>
      </c>
      <c r="G521">
        <v>0</v>
      </c>
      <c r="H521">
        <v>642</v>
      </c>
      <c r="I521">
        <v>44</v>
      </c>
    </row>
    <row r="522" spans="1:9" x14ac:dyDescent="0.3">
      <c r="A522" s="1">
        <v>45717</v>
      </c>
      <c r="B522" t="s">
        <v>75</v>
      </c>
      <c r="C522" t="s">
        <v>36</v>
      </c>
      <c r="D522">
        <v>1.02</v>
      </c>
      <c r="E522">
        <v>230.21</v>
      </c>
      <c r="F522">
        <v>0.01</v>
      </c>
      <c r="G522">
        <v>0.01</v>
      </c>
      <c r="H522">
        <v>2257</v>
      </c>
      <c r="I522">
        <v>45</v>
      </c>
    </row>
    <row r="523" spans="1:9" x14ac:dyDescent="0.3">
      <c r="A523" s="1">
        <v>45717</v>
      </c>
      <c r="B523" t="s">
        <v>76</v>
      </c>
      <c r="C523" t="s">
        <v>36</v>
      </c>
      <c r="D523">
        <v>1</v>
      </c>
      <c r="E523">
        <v>224.84</v>
      </c>
      <c r="F523">
        <v>0.01</v>
      </c>
      <c r="G523">
        <v>0.01</v>
      </c>
      <c r="H523">
        <v>2248</v>
      </c>
      <c r="I523">
        <v>46</v>
      </c>
    </row>
    <row r="524" spans="1:9" x14ac:dyDescent="0.3">
      <c r="A524" s="1">
        <v>45717</v>
      </c>
      <c r="B524" t="s">
        <v>115</v>
      </c>
      <c r="C524" t="s">
        <v>36</v>
      </c>
      <c r="D524">
        <v>0.95</v>
      </c>
      <c r="E524">
        <v>436.8</v>
      </c>
      <c r="F524">
        <v>0.01</v>
      </c>
      <c r="G524">
        <v>0.02</v>
      </c>
      <c r="H524">
        <v>4598</v>
      </c>
      <c r="I524">
        <v>47</v>
      </c>
    </row>
    <row r="525" spans="1:9" x14ac:dyDescent="0.3">
      <c r="A525" s="1">
        <v>45717</v>
      </c>
      <c r="B525" t="s">
        <v>72</v>
      </c>
      <c r="C525" t="s">
        <v>36</v>
      </c>
      <c r="D525">
        <v>0.88</v>
      </c>
      <c r="E525">
        <v>39.97</v>
      </c>
      <c r="F525">
        <v>0</v>
      </c>
      <c r="G525">
        <v>0</v>
      </c>
      <c r="H525">
        <v>454</v>
      </c>
      <c r="I525">
        <v>48</v>
      </c>
    </row>
    <row r="526" spans="1:9" x14ac:dyDescent="0.3">
      <c r="A526" s="1">
        <v>45717</v>
      </c>
      <c r="B526" t="s">
        <v>100</v>
      </c>
      <c r="C526" t="s">
        <v>36</v>
      </c>
      <c r="D526">
        <v>0.82</v>
      </c>
      <c r="E526">
        <v>973</v>
      </c>
      <c r="F526">
        <v>0</v>
      </c>
      <c r="G526">
        <v>0.04</v>
      </c>
      <c r="H526">
        <v>11866</v>
      </c>
      <c r="I526">
        <v>49</v>
      </c>
    </row>
    <row r="527" spans="1:9" x14ac:dyDescent="0.3">
      <c r="A527" s="1">
        <v>45717</v>
      </c>
      <c r="B527" t="s">
        <v>79</v>
      </c>
      <c r="C527" t="s">
        <v>36</v>
      </c>
      <c r="D527">
        <v>0.8</v>
      </c>
      <c r="E527">
        <v>258.58</v>
      </c>
      <c r="F527">
        <v>0</v>
      </c>
      <c r="G527">
        <v>0.01</v>
      </c>
      <c r="H527">
        <v>3232</v>
      </c>
      <c r="I527">
        <v>50</v>
      </c>
    </row>
    <row r="528" spans="1:9" x14ac:dyDescent="0.3">
      <c r="A528" s="1">
        <v>45717</v>
      </c>
      <c r="B528" t="s">
        <v>73</v>
      </c>
      <c r="C528" t="s">
        <v>36</v>
      </c>
      <c r="D528">
        <v>0.72</v>
      </c>
      <c r="E528">
        <v>241.09</v>
      </c>
      <c r="F528">
        <v>0</v>
      </c>
      <c r="G528">
        <v>0.01</v>
      </c>
      <c r="H528">
        <v>3348</v>
      </c>
      <c r="I528">
        <v>51</v>
      </c>
    </row>
    <row r="529" spans="1:9" x14ac:dyDescent="0.3">
      <c r="A529" s="1">
        <v>45717</v>
      </c>
      <c r="B529" t="s">
        <v>74</v>
      </c>
      <c r="C529" t="s">
        <v>36</v>
      </c>
      <c r="D529">
        <v>0.68</v>
      </c>
      <c r="E529">
        <v>204.88</v>
      </c>
      <c r="F529">
        <v>0</v>
      </c>
      <c r="G529">
        <v>0.01</v>
      </c>
      <c r="H529">
        <v>3013</v>
      </c>
      <c r="I529">
        <v>52</v>
      </c>
    </row>
    <row r="530" spans="1:9" x14ac:dyDescent="0.3">
      <c r="A530" s="1">
        <v>45717</v>
      </c>
      <c r="B530" t="s">
        <v>64</v>
      </c>
      <c r="C530" t="s">
        <v>36</v>
      </c>
      <c r="D530">
        <v>0.64</v>
      </c>
      <c r="E530">
        <v>176.18</v>
      </c>
      <c r="F530">
        <v>0</v>
      </c>
      <c r="G530">
        <v>0.01</v>
      </c>
      <c r="H530">
        <v>2753</v>
      </c>
      <c r="I530">
        <v>53</v>
      </c>
    </row>
    <row r="531" spans="1:9" x14ac:dyDescent="0.3">
      <c r="A531" s="1">
        <v>45717</v>
      </c>
      <c r="B531" t="s">
        <v>78</v>
      </c>
      <c r="C531" t="s">
        <v>36</v>
      </c>
      <c r="D531">
        <v>0.59</v>
      </c>
      <c r="E531">
        <v>174.06</v>
      </c>
      <c r="F531">
        <v>0</v>
      </c>
      <c r="G531">
        <v>0.01</v>
      </c>
      <c r="H531">
        <v>2950</v>
      </c>
      <c r="I531">
        <v>54</v>
      </c>
    </row>
    <row r="532" spans="1:9" x14ac:dyDescent="0.3">
      <c r="A532" s="1">
        <v>45717</v>
      </c>
      <c r="B532" t="s">
        <v>77</v>
      </c>
      <c r="C532" t="s">
        <v>36</v>
      </c>
      <c r="D532">
        <v>0.57999999999999996</v>
      </c>
      <c r="E532">
        <v>63.84</v>
      </c>
      <c r="F532">
        <v>0</v>
      </c>
      <c r="G532">
        <v>0</v>
      </c>
      <c r="H532">
        <v>1101</v>
      </c>
      <c r="I532">
        <v>55</v>
      </c>
    </row>
    <row r="533" spans="1:9" x14ac:dyDescent="0.3">
      <c r="A533" s="1">
        <v>45717</v>
      </c>
      <c r="B533" t="s">
        <v>87</v>
      </c>
      <c r="C533" t="s">
        <v>36</v>
      </c>
      <c r="D533">
        <v>0.5</v>
      </c>
      <c r="E533">
        <v>146.46</v>
      </c>
      <c r="F533">
        <v>0</v>
      </c>
      <c r="G533">
        <v>0.01</v>
      </c>
      <c r="H533">
        <v>2929</v>
      </c>
      <c r="I533">
        <v>56</v>
      </c>
    </row>
    <row r="534" spans="1:9" x14ac:dyDescent="0.3">
      <c r="A534" s="1">
        <v>45717</v>
      </c>
      <c r="B534" t="s">
        <v>84</v>
      </c>
      <c r="C534" t="s">
        <v>36</v>
      </c>
      <c r="D534">
        <v>0.44</v>
      </c>
      <c r="E534">
        <v>110.34</v>
      </c>
      <c r="F534">
        <v>0</v>
      </c>
      <c r="G534">
        <v>0</v>
      </c>
      <c r="H534">
        <v>2508</v>
      </c>
      <c r="I534">
        <v>57</v>
      </c>
    </row>
    <row r="535" spans="1:9" x14ac:dyDescent="0.3">
      <c r="A535" s="1">
        <v>45717</v>
      </c>
      <c r="B535" t="s">
        <v>85</v>
      </c>
      <c r="C535" t="s">
        <v>36</v>
      </c>
      <c r="D535">
        <v>0.38</v>
      </c>
      <c r="E535">
        <v>111.95</v>
      </c>
      <c r="F535">
        <v>0</v>
      </c>
      <c r="G535">
        <v>0</v>
      </c>
      <c r="H535">
        <v>2946</v>
      </c>
      <c r="I535">
        <v>58</v>
      </c>
    </row>
    <row r="536" spans="1:9" x14ac:dyDescent="0.3">
      <c r="A536" s="1">
        <v>45717</v>
      </c>
      <c r="B536" t="s">
        <v>109</v>
      </c>
      <c r="C536" t="s">
        <v>36</v>
      </c>
      <c r="D536">
        <v>0.38</v>
      </c>
      <c r="E536">
        <v>40.78</v>
      </c>
      <c r="F536">
        <v>0</v>
      </c>
      <c r="G536">
        <v>0</v>
      </c>
      <c r="H536">
        <v>1073</v>
      </c>
      <c r="I536">
        <v>58</v>
      </c>
    </row>
    <row r="537" spans="1:9" x14ac:dyDescent="0.3">
      <c r="A537" s="1">
        <v>45717</v>
      </c>
      <c r="B537" t="s">
        <v>102</v>
      </c>
      <c r="C537" t="s">
        <v>36</v>
      </c>
      <c r="D537">
        <v>0.36</v>
      </c>
      <c r="E537">
        <v>18.23</v>
      </c>
      <c r="F537">
        <v>0</v>
      </c>
      <c r="G537">
        <v>0</v>
      </c>
      <c r="H537">
        <v>506</v>
      </c>
      <c r="I537">
        <v>60</v>
      </c>
    </row>
    <row r="538" spans="1:9" x14ac:dyDescent="0.3">
      <c r="A538" s="1">
        <v>45717</v>
      </c>
      <c r="B538" t="s">
        <v>89</v>
      </c>
      <c r="C538" t="s">
        <v>36</v>
      </c>
      <c r="D538">
        <v>0.27</v>
      </c>
      <c r="E538">
        <v>86.1</v>
      </c>
      <c r="F538">
        <v>0</v>
      </c>
      <c r="G538">
        <v>0</v>
      </c>
      <c r="H538">
        <v>3189</v>
      </c>
      <c r="I538">
        <v>61</v>
      </c>
    </row>
    <row r="539" spans="1:9" x14ac:dyDescent="0.3">
      <c r="A539" s="1">
        <v>45717</v>
      </c>
      <c r="B539" t="s">
        <v>86</v>
      </c>
      <c r="C539" t="s">
        <v>36</v>
      </c>
      <c r="D539">
        <v>0.26</v>
      </c>
      <c r="E539">
        <v>60.29</v>
      </c>
      <c r="F539">
        <v>0</v>
      </c>
      <c r="G539">
        <v>0</v>
      </c>
      <c r="H539">
        <v>2319</v>
      </c>
      <c r="I539">
        <v>62</v>
      </c>
    </row>
    <row r="540" spans="1:9" x14ac:dyDescent="0.3">
      <c r="A540" s="1">
        <v>45717</v>
      </c>
      <c r="B540" t="s">
        <v>88</v>
      </c>
      <c r="C540" t="s">
        <v>36</v>
      </c>
      <c r="D540">
        <v>0.25</v>
      </c>
      <c r="E540">
        <v>57.72</v>
      </c>
      <c r="F540">
        <v>0</v>
      </c>
      <c r="G540">
        <v>0</v>
      </c>
      <c r="H540">
        <v>2309</v>
      </c>
      <c r="I540">
        <v>63</v>
      </c>
    </row>
    <row r="541" spans="1:9" x14ac:dyDescent="0.3">
      <c r="A541" s="1">
        <v>45717</v>
      </c>
      <c r="B541" t="s">
        <v>114</v>
      </c>
      <c r="C541" t="s">
        <v>36</v>
      </c>
      <c r="D541">
        <v>0.19</v>
      </c>
      <c r="E541">
        <v>26.43</v>
      </c>
      <c r="F541">
        <v>0</v>
      </c>
      <c r="G541">
        <v>0</v>
      </c>
      <c r="H541">
        <v>1391</v>
      </c>
      <c r="I541">
        <v>64</v>
      </c>
    </row>
    <row r="542" spans="1:9" x14ac:dyDescent="0.3">
      <c r="A542" s="1">
        <v>45717</v>
      </c>
      <c r="B542" t="s">
        <v>112</v>
      </c>
      <c r="C542" t="s">
        <v>36</v>
      </c>
      <c r="D542">
        <v>0.18</v>
      </c>
      <c r="E542">
        <v>18.989999999999998</v>
      </c>
      <c r="F542">
        <v>0</v>
      </c>
      <c r="G542">
        <v>0</v>
      </c>
      <c r="H542">
        <v>1055</v>
      </c>
      <c r="I542">
        <v>65</v>
      </c>
    </row>
    <row r="543" spans="1:9" x14ac:dyDescent="0.3">
      <c r="A543" s="1">
        <v>45717</v>
      </c>
      <c r="B543" t="s">
        <v>90</v>
      </c>
      <c r="C543" t="s">
        <v>36</v>
      </c>
      <c r="D543">
        <v>0.17</v>
      </c>
      <c r="E543">
        <v>8.44</v>
      </c>
      <c r="F543">
        <v>0</v>
      </c>
      <c r="G543">
        <v>0</v>
      </c>
      <c r="H543">
        <v>496</v>
      </c>
      <c r="I543">
        <v>66</v>
      </c>
    </row>
    <row r="544" spans="1:9" x14ac:dyDescent="0.3">
      <c r="A544" s="1">
        <v>45717</v>
      </c>
      <c r="B544" t="s">
        <v>113</v>
      </c>
      <c r="C544" t="s">
        <v>36</v>
      </c>
      <c r="D544">
        <v>0.16</v>
      </c>
      <c r="E544">
        <v>12.87</v>
      </c>
      <c r="F544">
        <v>0</v>
      </c>
      <c r="G544">
        <v>0</v>
      </c>
      <c r="H544">
        <v>804</v>
      </c>
      <c r="I544">
        <v>67</v>
      </c>
    </row>
    <row r="545" spans="1:9" x14ac:dyDescent="0.3">
      <c r="A545" s="1">
        <v>45717</v>
      </c>
      <c r="B545" t="s">
        <v>97</v>
      </c>
      <c r="C545" t="s">
        <v>36</v>
      </c>
      <c r="D545">
        <v>0.14000000000000001</v>
      </c>
      <c r="E545">
        <v>17.079999999999998</v>
      </c>
      <c r="F545">
        <v>0</v>
      </c>
      <c r="G545">
        <v>0</v>
      </c>
      <c r="H545">
        <v>1220</v>
      </c>
      <c r="I545">
        <v>68</v>
      </c>
    </row>
    <row r="546" spans="1:9" x14ac:dyDescent="0.3">
      <c r="A546" s="1">
        <v>45717</v>
      </c>
      <c r="B546" t="s">
        <v>93</v>
      </c>
      <c r="C546" t="s">
        <v>36</v>
      </c>
      <c r="D546">
        <v>0.13</v>
      </c>
      <c r="E546">
        <v>45.74</v>
      </c>
      <c r="F546">
        <v>0</v>
      </c>
      <c r="G546">
        <v>0</v>
      </c>
      <c r="H546">
        <v>3518</v>
      </c>
      <c r="I546">
        <v>69</v>
      </c>
    </row>
    <row r="547" spans="1:9" x14ac:dyDescent="0.3">
      <c r="A547" s="1">
        <v>45717</v>
      </c>
      <c r="B547" t="s">
        <v>91</v>
      </c>
      <c r="C547" t="s">
        <v>36</v>
      </c>
      <c r="D547">
        <v>0.11</v>
      </c>
      <c r="E547">
        <v>8.67</v>
      </c>
      <c r="F547">
        <v>0</v>
      </c>
      <c r="G547">
        <v>0</v>
      </c>
      <c r="H547">
        <v>788</v>
      </c>
      <c r="I547">
        <v>70</v>
      </c>
    </row>
    <row r="548" spans="1:9" x14ac:dyDescent="0.3">
      <c r="A548" s="1">
        <v>45717</v>
      </c>
      <c r="B548" t="s">
        <v>92</v>
      </c>
      <c r="C548" t="s">
        <v>36</v>
      </c>
      <c r="D548">
        <v>0.11</v>
      </c>
      <c r="E548">
        <v>54.39</v>
      </c>
      <c r="F548">
        <v>0</v>
      </c>
      <c r="G548">
        <v>0</v>
      </c>
      <c r="H548">
        <v>4945</v>
      </c>
      <c r="I548">
        <v>70</v>
      </c>
    </row>
    <row r="549" spans="1:9" x14ac:dyDescent="0.3">
      <c r="A549" s="1">
        <v>45717</v>
      </c>
      <c r="B549" t="s">
        <v>99</v>
      </c>
      <c r="C549" t="s">
        <v>36</v>
      </c>
      <c r="D549">
        <v>0.1</v>
      </c>
      <c r="E549">
        <v>3.41</v>
      </c>
      <c r="F549">
        <v>0</v>
      </c>
      <c r="G549">
        <v>0</v>
      </c>
      <c r="H549">
        <v>341</v>
      </c>
      <c r="I549">
        <v>72</v>
      </c>
    </row>
    <row r="550" spans="1:9" x14ac:dyDescent="0.3">
      <c r="A550" s="1">
        <v>45717</v>
      </c>
      <c r="B550" t="s">
        <v>101</v>
      </c>
      <c r="C550" t="s">
        <v>36</v>
      </c>
      <c r="D550">
        <v>0.09</v>
      </c>
      <c r="E550">
        <v>33.659999999999997</v>
      </c>
      <c r="F550">
        <v>0</v>
      </c>
      <c r="G550">
        <v>0</v>
      </c>
      <c r="H550">
        <v>3740</v>
      </c>
      <c r="I550">
        <v>73</v>
      </c>
    </row>
    <row r="551" spans="1:9" x14ac:dyDescent="0.3">
      <c r="A551" s="1">
        <v>45717</v>
      </c>
      <c r="B551" t="s">
        <v>95</v>
      </c>
      <c r="C551" t="s">
        <v>36</v>
      </c>
      <c r="D551">
        <v>0.09</v>
      </c>
      <c r="E551">
        <v>31.31</v>
      </c>
      <c r="F551">
        <v>0</v>
      </c>
      <c r="G551">
        <v>0</v>
      </c>
      <c r="H551">
        <v>3479</v>
      </c>
      <c r="I551">
        <v>73</v>
      </c>
    </row>
    <row r="552" spans="1:9" x14ac:dyDescent="0.3">
      <c r="A552" s="1">
        <v>45717</v>
      </c>
      <c r="B552" t="s">
        <v>96</v>
      </c>
      <c r="C552" t="s">
        <v>36</v>
      </c>
      <c r="D552">
        <v>0.08</v>
      </c>
      <c r="E552">
        <v>29.48</v>
      </c>
      <c r="F552">
        <v>0</v>
      </c>
      <c r="G552">
        <v>0</v>
      </c>
      <c r="H552">
        <v>3685</v>
      </c>
      <c r="I552">
        <v>75</v>
      </c>
    </row>
    <row r="553" spans="1:9" x14ac:dyDescent="0.3">
      <c r="A553" s="1">
        <v>45717</v>
      </c>
      <c r="B553" t="s">
        <v>111</v>
      </c>
      <c r="C553" t="s">
        <v>36</v>
      </c>
      <c r="D553">
        <v>7.0000000000000007E-2</v>
      </c>
      <c r="E553">
        <v>28.34</v>
      </c>
      <c r="F553">
        <v>0</v>
      </c>
      <c r="G553">
        <v>0</v>
      </c>
      <c r="H553">
        <v>4049</v>
      </c>
      <c r="I553">
        <v>76</v>
      </c>
    </row>
    <row r="554" spans="1:9" x14ac:dyDescent="0.3">
      <c r="A554" s="1">
        <v>45717</v>
      </c>
      <c r="B554" t="s">
        <v>103</v>
      </c>
      <c r="C554" t="s">
        <v>36</v>
      </c>
      <c r="D554">
        <v>0.05</v>
      </c>
      <c r="E554">
        <v>3.87</v>
      </c>
      <c r="F554">
        <v>0</v>
      </c>
      <c r="G554">
        <v>0</v>
      </c>
      <c r="H554">
        <v>774</v>
      </c>
      <c r="I554">
        <v>77</v>
      </c>
    </row>
    <row r="555" spans="1:9" x14ac:dyDescent="0.3">
      <c r="A555" s="1">
        <v>45717</v>
      </c>
      <c r="B555" t="s">
        <v>94</v>
      </c>
      <c r="C555" t="s">
        <v>36</v>
      </c>
      <c r="D555">
        <v>0.04</v>
      </c>
      <c r="E555">
        <v>5.54</v>
      </c>
      <c r="F555">
        <v>0</v>
      </c>
      <c r="G555">
        <v>0</v>
      </c>
      <c r="H555">
        <v>1385</v>
      </c>
      <c r="I555">
        <v>78</v>
      </c>
    </row>
    <row r="556" spans="1:9" x14ac:dyDescent="0.3">
      <c r="A556" s="1">
        <v>45717</v>
      </c>
      <c r="B556" t="s">
        <v>110</v>
      </c>
      <c r="C556" t="s">
        <v>36</v>
      </c>
      <c r="D556">
        <v>0.03</v>
      </c>
      <c r="E556">
        <v>2.4300000000000002</v>
      </c>
      <c r="F556">
        <v>0</v>
      </c>
      <c r="G556">
        <v>0</v>
      </c>
      <c r="H556">
        <v>810</v>
      </c>
      <c r="I556">
        <v>79</v>
      </c>
    </row>
    <row r="557" spans="1:9" x14ac:dyDescent="0.3">
      <c r="A557" s="1">
        <v>45717</v>
      </c>
      <c r="B557" t="s">
        <v>116</v>
      </c>
      <c r="C557" t="s">
        <v>36</v>
      </c>
      <c r="D557">
        <v>0.03</v>
      </c>
      <c r="E557">
        <v>9.11</v>
      </c>
      <c r="F557">
        <v>0</v>
      </c>
      <c r="G557">
        <v>0</v>
      </c>
      <c r="H557">
        <v>3037</v>
      </c>
      <c r="I557">
        <v>79</v>
      </c>
    </row>
    <row r="558" spans="1:9" x14ac:dyDescent="0.3">
      <c r="A558" s="1">
        <v>45717</v>
      </c>
      <c r="B558" t="s">
        <v>104</v>
      </c>
      <c r="C558" t="s">
        <v>36</v>
      </c>
      <c r="D558">
        <v>0.03</v>
      </c>
      <c r="E558">
        <v>9.19</v>
      </c>
      <c r="F558">
        <v>0</v>
      </c>
      <c r="G558">
        <v>0</v>
      </c>
      <c r="H558">
        <v>3063</v>
      </c>
      <c r="I558">
        <v>79</v>
      </c>
    </row>
    <row r="559" spans="1:9" x14ac:dyDescent="0.3">
      <c r="A559" s="1">
        <v>45748</v>
      </c>
      <c r="B559" t="s">
        <v>32</v>
      </c>
      <c r="C559" t="s">
        <v>32</v>
      </c>
      <c r="D559">
        <v>8362.31</v>
      </c>
      <c r="E559">
        <v>1205047.3</v>
      </c>
      <c r="F559">
        <v>46.73</v>
      </c>
      <c r="G559">
        <v>50.32</v>
      </c>
      <c r="H559">
        <v>1441</v>
      </c>
      <c r="I559">
        <v>1</v>
      </c>
    </row>
    <row r="560" spans="1:9" x14ac:dyDescent="0.3">
      <c r="A560" s="1">
        <v>45748</v>
      </c>
      <c r="B560" t="s">
        <v>33</v>
      </c>
      <c r="C560" t="s">
        <v>33</v>
      </c>
      <c r="D560">
        <v>6488.55</v>
      </c>
      <c r="E560">
        <v>842628.56</v>
      </c>
      <c r="F560">
        <v>36.26</v>
      </c>
      <c r="G560">
        <v>35.18</v>
      </c>
      <c r="H560">
        <v>1299</v>
      </c>
      <c r="I560">
        <v>2</v>
      </c>
    </row>
    <row r="561" spans="1:9" x14ac:dyDescent="0.3">
      <c r="A561" s="1">
        <v>45748</v>
      </c>
      <c r="B561" t="s">
        <v>34</v>
      </c>
      <c r="C561" t="s">
        <v>34</v>
      </c>
      <c r="D561">
        <v>1210.24</v>
      </c>
      <c r="E561">
        <v>131153.97</v>
      </c>
      <c r="F561">
        <v>6.76</v>
      </c>
      <c r="G561">
        <v>5.48</v>
      </c>
      <c r="H561">
        <v>1084</v>
      </c>
      <c r="I561">
        <v>3</v>
      </c>
    </row>
    <row r="562" spans="1:9" x14ac:dyDescent="0.3">
      <c r="A562" s="1">
        <v>45748</v>
      </c>
      <c r="B562" t="s">
        <v>37</v>
      </c>
      <c r="C562" t="s">
        <v>36</v>
      </c>
      <c r="D562">
        <v>344.21</v>
      </c>
      <c r="E562">
        <v>18841.189999999999</v>
      </c>
      <c r="F562">
        <v>1.92</v>
      </c>
      <c r="G562">
        <v>0.79</v>
      </c>
      <c r="H562">
        <v>547</v>
      </c>
      <c r="I562">
        <v>4</v>
      </c>
    </row>
    <row r="563" spans="1:9" x14ac:dyDescent="0.3">
      <c r="A563" s="1">
        <v>45748</v>
      </c>
      <c r="B563" t="s">
        <v>47</v>
      </c>
      <c r="C563" t="s">
        <v>36</v>
      </c>
      <c r="D563">
        <v>175.24</v>
      </c>
      <c r="E563">
        <v>5924.95</v>
      </c>
      <c r="F563">
        <v>0.98</v>
      </c>
      <c r="G563">
        <v>0.25</v>
      </c>
      <c r="H563">
        <v>338</v>
      </c>
      <c r="I563">
        <v>5</v>
      </c>
    </row>
    <row r="564" spans="1:9" x14ac:dyDescent="0.3">
      <c r="A564" s="1">
        <v>45748</v>
      </c>
      <c r="B564" t="s">
        <v>35</v>
      </c>
      <c r="C564" t="s">
        <v>36</v>
      </c>
      <c r="D564">
        <v>134.66999999999999</v>
      </c>
      <c r="E564">
        <v>49753</v>
      </c>
      <c r="F564">
        <v>0.75</v>
      </c>
      <c r="G564">
        <v>2.08</v>
      </c>
      <c r="H564">
        <v>3694</v>
      </c>
      <c r="I564">
        <v>6</v>
      </c>
    </row>
    <row r="565" spans="1:9" x14ac:dyDescent="0.3">
      <c r="A565" s="1">
        <v>45748</v>
      </c>
      <c r="B565" t="s">
        <v>38</v>
      </c>
      <c r="C565" t="s">
        <v>36</v>
      </c>
      <c r="D565">
        <v>120.05</v>
      </c>
      <c r="E565">
        <v>9147.64</v>
      </c>
      <c r="F565">
        <v>0.67</v>
      </c>
      <c r="G565">
        <v>0.38</v>
      </c>
      <c r="H565">
        <v>762</v>
      </c>
      <c r="I565">
        <v>7</v>
      </c>
    </row>
    <row r="566" spans="1:9" x14ac:dyDescent="0.3">
      <c r="A566" s="1">
        <v>45748</v>
      </c>
      <c r="B566" t="s">
        <v>40</v>
      </c>
      <c r="C566" t="s">
        <v>36</v>
      </c>
      <c r="D566">
        <v>99.91</v>
      </c>
      <c r="E566">
        <v>1241.8</v>
      </c>
      <c r="F566">
        <v>0.56000000000000005</v>
      </c>
      <c r="G566">
        <v>0.05</v>
      </c>
      <c r="H566">
        <v>124</v>
      </c>
      <c r="I566">
        <v>8</v>
      </c>
    </row>
    <row r="567" spans="1:9" x14ac:dyDescent="0.3">
      <c r="A567" s="1">
        <v>45748</v>
      </c>
      <c r="B567" t="s">
        <v>39</v>
      </c>
      <c r="C567" t="s">
        <v>36</v>
      </c>
      <c r="D567">
        <v>98.26</v>
      </c>
      <c r="E567">
        <v>9966.68</v>
      </c>
      <c r="F567">
        <v>0.55000000000000004</v>
      </c>
      <c r="G567">
        <v>0.42</v>
      </c>
      <c r="H567">
        <v>1014</v>
      </c>
      <c r="I567">
        <v>9</v>
      </c>
    </row>
    <row r="568" spans="1:9" x14ac:dyDescent="0.3">
      <c r="A568" s="1">
        <v>45748</v>
      </c>
      <c r="B568" t="s">
        <v>42</v>
      </c>
      <c r="C568" t="s">
        <v>36</v>
      </c>
      <c r="D568">
        <v>67.400000000000006</v>
      </c>
      <c r="E568">
        <v>5065.4399999999996</v>
      </c>
      <c r="F568">
        <v>0.38</v>
      </c>
      <c r="G568">
        <v>0.21</v>
      </c>
      <c r="H568">
        <v>752</v>
      </c>
      <c r="I568">
        <v>10</v>
      </c>
    </row>
    <row r="569" spans="1:9" x14ac:dyDescent="0.3">
      <c r="A569" s="1">
        <v>45748</v>
      </c>
      <c r="B569" t="s">
        <v>41</v>
      </c>
      <c r="C569" t="s">
        <v>36</v>
      </c>
      <c r="D569">
        <v>58.11</v>
      </c>
      <c r="E569">
        <v>16223.97</v>
      </c>
      <c r="F569">
        <v>0.32</v>
      </c>
      <c r="G569">
        <v>0.68</v>
      </c>
      <c r="H569">
        <v>2792</v>
      </c>
      <c r="I569">
        <v>11</v>
      </c>
    </row>
    <row r="570" spans="1:9" x14ac:dyDescent="0.3">
      <c r="A570" s="1">
        <v>45748</v>
      </c>
      <c r="B570" t="s">
        <v>43</v>
      </c>
      <c r="C570" t="s">
        <v>36</v>
      </c>
      <c r="D570">
        <v>57.73</v>
      </c>
      <c r="E570">
        <v>7681.65</v>
      </c>
      <c r="F570">
        <v>0.32</v>
      </c>
      <c r="G570">
        <v>0.32</v>
      </c>
      <c r="H570">
        <v>1331</v>
      </c>
      <c r="I570">
        <v>12</v>
      </c>
    </row>
    <row r="571" spans="1:9" x14ac:dyDescent="0.3">
      <c r="A571" s="1">
        <v>45748</v>
      </c>
      <c r="B571" t="s">
        <v>44</v>
      </c>
      <c r="C571" t="s">
        <v>36</v>
      </c>
      <c r="D571">
        <v>57.46</v>
      </c>
      <c r="E571">
        <v>11947.75</v>
      </c>
      <c r="F571">
        <v>0.32</v>
      </c>
      <c r="G571">
        <v>0.5</v>
      </c>
      <c r="H571">
        <v>2079</v>
      </c>
      <c r="I571">
        <v>13</v>
      </c>
    </row>
    <row r="572" spans="1:9" x14ac:dyDescent="0.3">
      <c r="A572" s="1">
        <v>45748</v>
      </c>
      <c r="B572" t="s">
        <v>46</v>
      </c>
      <c r="C572" t="s">
        <v>36</v>
      </c>
      <c r="D572">
        <v>53.57</v>
      </c>
      <c r="E572">
        <v>10363.27</v>
      </c>
      <c r="F572">
        <v>0.3</v>
      </c>
      <c r="G572">
        <v>0.43</v>
      </c>
      <c r="H572">
        <v>1935</v>
      </c>
      <c r="I572">
        <v>14</v>
      </c>
    </row>
    <row r="573" spans="1:9" x14ac:dyDescent="0.3">
      <c r="A573" s="1">
        <v>45748</v>
      </c>
      <c r="B573" t="s">
        <v>45</v>
      </c>
      <c r="C573" t="s">
        <v>36</v>
      </c>
      <c r="D573">
        <v>48.3</v>
      </c>
      <c r="E573">
        <v>9059.27</v>
      </c>
      <c r="F573">
        <v>0.27</v>
      </c>
      <c r="G573">
        <v>0.38</v>
      </c>
      <c r="H573">
        <v>1876</v>
      </c>
      <c r="I573">
        <v>15</v>
      </c>
    </row>
    <row r="574" spans="1:9" x14ac:dyDescent="0.3">
      <c r="A574" s="1">
        <v>45748</v>
      </c>
      <c r="B574" t="s">
        <v>49</v>
      </c>
      <c r="C574" t="s">
        <v>36</v>
      </c>
      <c r="D574">
        <v>31.7</v>
      </c>
      <c r="E574">
        <v>4277.05</v>
      </c>
      <c r="F574">
        <v>0.18</v>
      </c>
      <c r="G574">
        <v>0.18</v>
      </c>
      <c r="H574">
        <v>1349</v>
      </c>
      <c r="I574">
        <v>16</v>
      </c>
    </row>
    <row r="575" spans="1:9" x14ac:dyDescent="0.3">
      <c r="A575" s="1">
        <v>45748</v>
      </c>
      <c r="B575" t="s">
        <v>48</v>
      </c>
      <c r="C575" t="s">
        <v>36</v>
      </c>
      <c r="D575">
        <v>20.399999999999999</v>
      </c>
      <c r="E575">
        <v>1416.39</v>
      </c>
      <c r="F575">
        <v>0.11</v>
      </c>
      <c r="G575">
        <v>0.06</v>
      </c>
      <c r="H575">
        <v>694</v>
      </c>
      <c r="I575">
        <v>17</v>
      </c>
    </row>
    <row r="576" spans="1:9" x14ac:dyDescent="0.3">
      <c r="A576" s="1">
        <v>45748</v>
      </c>
      <c r="B576" t="s">
        <v>53</v>
      </c>
      <c r="C576" t="s">
        <v>36</v>
      </c>
      <c r="D576">
        <v>17.809999999999999</v>
      </c>
      <c r="E576">
        <v>2120.0100000000002</v>
      </c>
      <c r="F576">
        <v>0.1</v>
      </c>
      <c r="G576">
        <v>0.09</v>
      </c>
      <c r="H576">
        <v>1190</v>
      </c>
      <c r="I576">
        <v>18</v>
      </c>
    </row>
    <row r="577" spans="1:9" x14ac:dyDescent="0.3">
      <c r="A577" s="1">
        <v>45748</v>
      </c>
      <c r="B577" t="s">
        <v>55</v>
      </c>
      <c r="C577" t="s">
        <v>36</v>
      </c>
      <c r="D577">
        <v>16.09</v>
      </c>
      <c r="E577">
        <v>2435.2399999999998</v>
      </c>
      <c r="F577">
        <v>0.09</v>
      </c>
      <c r="G577">
        <v>0.1</v>
      </c>
      <c r="H577">
        <v>1514</v>
      </c>
      <c r="I577">
        <v>19</v>
      </c>
    </row>
    <row r="578" spans="1:9" x14ac:dyDescent="0.3">
      <c r="A578" s="1">
        <v>45748</v>
      </c>
      <c r="B578" t="s">
        <v>57</v>
      </c>
      <c r="C578" t="s">
        <v>36</v>
      </c>
      <c r="D578">
        <v>14.76</v>
      </c>
      <c r="E578">
        <v>1738.65</v>
      </c>
      <c r="F578">
        <v>0.08</v>
      </c>
      <c r="G578">
        <v>7.0000000000000007E-2</v>
      </c>
      <c r="H578">
        <v>1178</v>
      </c>
      <c r="I578">
        <v>20</v>
      </c>
    </row>
    <row r="579" spans="1:9" x14ac:dyDescent="0.3">
      <c r="A579" s="1">
        <v>45748</v>
      </c>
      <c r="B579" t="s">
        <v>67</v>
      </c>
      <c r="C579" t="s">
        <v>36</v>
      </c>
      <c r="D579">
        <v>14.09</v>
      </c>
      <c r="E579">
        <v>1653.13</v>
      </c>
      <c r="F579">
        <v>0.08</v>
      </c>
      <c r="G579">
        <v>7.0000000000000007E-2</v>
      </c>
      <c r="H579">
        <v>1173</v>
      </c>
      <c r="I579">
        <v>21</v>
      </c>
    </row>
    <row r="580" spans="1:9" x14ac:dyDescent="0.3">
      <c r="A580" s="1">
        <v>45748</v>
      </c>
      <c r="B580" t="s">
        <v>54</v>
      </c>
      <c r="C580" t="s">
        <v>36</v>
      </c>
      <c r="D580">
        <v>13.16</v>
      </c>
      <c r="E580">
        <v>3524.25</v>
      </c>
      <c r="F580">
        <v>7.0000000000000007E-2</v>
      </c>
      <c r="G580">
        <v>0.15</v>
      </c>
      <c r="H580">
        <v>2678</v>
      </c>
      <c r="I580">
        <v>22</v>
      </c>
    </row>
    <row r="581" spans="1:9" x14ac:dyDescent="0.3">
      <c r="A581" s="1">
        <v>45748</v>
      </c>
      <c r="B581" t="s">
        <v>50</v>
      </c>
      <c r="C581" t="s">
        <v>36</v>
      </c>
      <c r="D581">
        <v>12.37</v>
      </c>
      <c r="E581">
        <v>8788.4599999999991</v>
      </c>
      <c r="F581">
        <v>7.0000000000000007E-2</v>
      </c>
      <c r="G581">
        <v>0.37</v>
      </c>
      <c r="H581">
        <v>7105</v>
      </c>
      <c r="I581">
        <v>23</v>
      </c>
    </row>
    <row r="582" spans="1:9" x14ac:dyDescent="0.3">
      <c r="A582" s="1">
        <v>45748</v>
      </c>
      <c r="B582" t="s">
        <v>65</v>
      </c>
      <c r="C582" t="s">
        <v>36</v>
      </c>
      <c r="D582">
        <v>10.38</v>
      </c>
      <c r="E582">
        <v>445.95</v>
      </c>
      <c r="F582">
        <v>0.06</v>
      </c>
      <c r="G582">
        <v>0.02</v>
      </c>
      <c r="H582">
        <v>430</v>
      </c>
      <c r="I582">
        <v>24</v>
      </c>
    </row>
    <row r="583" spans="1:9" x14ac:dyDescent="0.3">
      <c r="A583" s="1">
        <v>45748</v>
      </c>
      <c r="B583" t="s">
        <v>52</v>
      </c>
      <c r="C583" t="s">
        <v>36</v>
      </c>
      <c r="D583">
        <v>10.25</v>
      </c>
      <c r="E583">
        <v>2002.37</v>
      </c>
      <c r="F583">
        <v>0.06</v>
      </c>
      <c r="G583">
        <v>0.08</v>
      </c>
      <c r="H583">
        <v>1954</v>
      </c>
      <c r="I583">
        <v>25</v>
      </c>
    </row>
    <row r="584" spans="1:9" x14ac:dyDescent="0.3">
      <c r="A584" s="1">
        <v>45748</v>
      </c>
      <c r="B584" t="s">
        <v>56</v>
      </c>
      <c r="C584" t="s">
        <v>36</v>
      </c>
      <c r="D584">
        <v>8.7200000000000006</v>
      </c>
      <c r="E584">
        <v>619.96</v>
      </c>
      <c r="F584">
        <v>0.05</v>
      </c>
      <c r="G584">
        <v>0.03</v>
      </c>
      <c r="H584">
        <v>711</v>
      </c>
      <c r="I584">
        <v>26</v>
      </c>
    </row>
    <row r="585" spans="1:9" x14ac:dyDescent="0.3">
      <c r="A585" s="1">
        <v>45748</v>
      </c>
      <c r="B585" t="s">
        <v>59</v>
      </c>
      <c r="C585" t="s">
        <v>36</v>
      </c>
      <c r="D585">
        <v>6.15</v>
      </c>
      <c r="E585">
        <v>900.17</v>
      </c>
      <c r="F585">
        <v>0.03</v>
      </c>
      <c r="G585">
        <v>0.04</v>
      </c>
      <c r="H585">
        <v>1464</v>
      </c>
      <c r="I585">
        <v>27</v>
      </c>
    </row>
    <row r="586" spans="1:9" x14ac:dyDescent="0.3">
      <c r="A586" s="1">
        <v>45748</v>
      </c>
      <c r="B586" t="s">
        <v>58</v>
      </c>
      <c r="C586" t="s">
        <v>36</v>
      </c>
      <c r="D586">
        <v>4.8899999999999997</v>
      </c>
      <c r="E586">
        <v>894.05</v>
      </c>
      <c r="F586">
        <v>0.03</v>
      </c>
      <c r="G586">
        <v>0.04</v>
      </c>
      <c r="H586">
        <v>1828</v>
      </c>
      <c r="I586">
        <v>28</v>
      </c>
    </row>
    <row r="587" spans="1:9" x14ac:dyDescent="0.3">
      <c r="A587" s="1">
        <v>45748</v>
      </c>
      <c r="B587" t="s">
        <v>62</v>
      </c>
      <c r="C587" t="s">
        <v>36</v>
      </c>
      <c r="D587">
        <v>4.21</v>
      </c>
      <c r="E587">
        <v>315.88</v>
      </c>
      <c r="F587">
        <v>0.02</v>
      </c>
      <c r="G587">
        <v>0.01</v>
      </c>
      <c r="H587">
        <v>750</v>
      </c>
      <c r="I587">
        <v>29</v>
      </c>
    </row>
    <row r="588" spans="1:9" x14ac:dyDescent="0.3">
      <c r="A588" s="1">
        <v>45748</v>
      </c>
      <c r="B588" t="s">
        <v>61</v>
      </c>
      <c r="C588" t="s">
        <v>36</v>
      </c>
      <c r="D588">
        <v>3.71</v>
      </c>
      <c r="E588">
        <v>970.18</v>
      </c>
      <c r="F588">
        <v>0.02</v>
      </c>
      <c r="G588">
        <v>0.04</v>
      </c>
      <c r="H588">
        <v>2615</v>
      </c>
      <c r="I588">
        <v>30</v>
      </c>
    </row>
    <row r="589" spans="1:9" x14ac:dyDescent="0.3">
      <c r="A589" s="1">
        <v>45748</v>
      </c>
      <c r="B589" t="s">
        <v>60</v>
      </c>
      <c r="C589" t="s">
        <v>36</v>
      </c>
      <c r="D589">
        <v>3.56</v>
      </c>
      <c r="E589">
        <v>647.41999999999996</v>
      </c>
      <c r="F589">
        <v>0.02</v>
      </c>
      <c r="G589">
        <v>0.03</v>
      </c>
      <c r="H589">
        <v>1819</v>
      </c>
      <c r="I589">
        <v>31</v>
      </c>
    </row>
    <row r="590" spans="1:9" x14ac:dyDescent="0.3">
      <c r="A590" s="1">
        <v>45748</v>
      </c>
      <c r="B590" t="s">
        <v>51</v>
      </c>
      <c r="C590" t="s">
        <v>36</v>
      </c>
      <c r="D590">
        <v>3.47</v>
      </c>
      <c r="E590">
        <v>195.89</v>
      </c>
      <c r="F590">
        <v>0.02</v>
      </c>
      <c r="G590">
        <v>0.01</v>
      </c>
      <c r="H590">
        <v>565</v>
      </c>
      <c r="I590">
        <v>32</v>
      </c>
    </row>
    <row r="591" spans="1:9" x14ac:dyDescent="0.3">
      <c r="A591" s="1">
        <v>45748</v>
      </c>
      <c r="B591" t="s">
        <v>63</v>
      </c>
      <c r="C591" t="s">
        <v>36</v>
      </c>
      <c r="D591">
        <v>3.4</v>
      </c>
      <c r="E591">
        <v>912.54</v>
      </c>
      <c r="F591">
        <v>0.02</v>
      </c>
      <c r="G591">
        <v>0.04</v>
      </c>
      <c r="H591">
        <v>2684</v>
      </c>
      <c r="I591">
        <v>33</v>
      </c>
    </row>
    <row r="592" spans="1:9" x14ac:dyDescent="0.3">
      <c r="A592" s="1">
        <v>45748</v>
      </c>
      <c r="B592" t="s">
        <v>66</v>
      </c>
      <c r="C592" t="s">
        <v>36</v>
      </c>
      <c r="D592">
        <v>3.12</v>
      </c>
      <c r="E592">
        <v>40.659999999999997</v>
      </c>
      <c r="F592">
        <v>0.02</v>
      </c>
      <c r="G592">
        <v>0</v>
      </c>
      <c r="H592">
        <v>130</v>
      </c>
      <c r="I592">
        <v>34</v>
      </c>
    </row>
    <row r="593" spans="1:9" x14ac:dyDescent="0.3">
      <c r="A593" s="1">
        <v>45748</v>
      </c>
      <c r="B593" t="s">
        <v>108</v>
      </c>
      <c r="C593" t="s">
        <v>36</v>
      </c>
      <c r="D593">
        <v>3.01</v>
      </c>
      <c r="E593">
        <v>396.69</v>
      </c>
      <c r="F593">
        <v>0.02</v>
      </c>
      <c r="G593">
        <v>0.02</v>
      </c>
      <c r="H593">
        <v>1318</v>
      </c>
      <c r="I593">
        <v>35</v>
      </c>
    </row>
    <row r="594" spans="1:9" x14ac:dyDescent="0.3">
      <c r="A594" s="1">
        <v>45748</v>
      </c>
      <c r="B594" t="s">
        <v>82</v>
      </c>
      <c r="C594" t="s">
        <v>36</v>
      </c>
      <c r="D594">
        <v>2.41</v>
      </c>
      <c r="E594">
        <v>297.79000000000002</v>
      </c>
      <c r="F594">
        <v>0.01</v>
      </c>
      <c r="G594">
        <v>0.01</v>
      </c>
      <c r="H594">
        <v>1236</v>
      </c>
      <c r="I594">
        <v>36</v>
      </c>
    </row>
    <row r="595" spans="1:9" x14ac:dyDescent="0.3">
      <c r="A595" s="1">
        <v>45748</v>
      </c>
      <c r="B595" t="s">
        <v>80</v>
      </c>
      <c r="C595" t="s">
        <v>36</v>
      </c>
      <c r="D595">
        <v>2.17</v>
      </c>
      <c r="E595">
        <v>345.61</v>
      </c>
      <c r="F595">
        <v>0.01</v>
      </c>
      <c r="G595">
        <v>0.01</v>
      </c>
      <c r="H595">
        <v>1593</v>
      </c>
      <c r="I595">
        <v>37</v>
      </c>
    </row>
    <row r="596" spans="1:9" x14ac:dyDescent="0.3">
      <c r="A596" s="1">
        <v>45748</v>
      </c>
      <c r="B596" t="s">
        <v>71</v>
      </c>
      <c r="C596" t="s">
        <v>36</v>
      </c>
      <c r="D596">
        <v>2.11</v>
      </c>
      <c r="E596">
        <v>281.39999999999998</v>
      </c>
      <c r="F596">
        <v>0.01</v>
      </c>
      <c r="G596">
        <v>0.01</v>
      </c>
      <c r="H596">
        <v>1334</v>
      </c>
      <c r="I596">
        <v>38</v>
      </c>
    </row>
    <row r="597" spans="1:9" x14ac:dyDescent="0.3">
      <c r="A597" s="1">
        <v>45748</v>
      </c>
      <c r="B597" t="s">
        <v>81</v>
      </c>
      <c r="C597" t="s">
        <v>36</v>
      </c>
      <c r="D597">
        <v>2.09</v>
      </c>
      <c r="E597">
        <v>137.77000000000001</v>
      </c>
      <c r="F597">
        <v>0.01</v>
      </c>
      <c r="G597">
        <v>0.01</v>
      </c>
      <c r="H597">
        <v>659</v>
      </c>
      <c r="I597">
        <v>39</v>
      </c>
    </row>
    <row r="598" spans="1:9" x14ac:dyDescent="0.3">
      <c r="A598" s="1">
        <v>45748</v>
      </c>
      <c r="B598" t="s">
        <v>69</v>
      </c>
      <c r="C598" t="s">
        <v>36</v>
      </c>
      <c r="D598">
        <v>1.9</v>
      </c>
      <c r="E598">
        <v>567.22</v>
      </c>
      <c r="F598">
        <v>0.01</v>
      </c>
      <c r="G598">
        <v>0.02</v>
      </c>
      <c r="H598">
        <v>2985</v>
      </c>
      <c r="I598">
        <v>40</v>
      </c>
    </row>
    <row r="599" spans="1:9" x14ac:dyDescent="0.3">
      <c r="A599" s="1">
        <v>45748</v>
      </c>
      <c r="B599" t="s">
        <v>87</v>
      </c>
      <c r="C599" t="s">
        <v>36</v>
      </c>
      <c r="D599">
        <v>1.9</v>
      </c>
      <c r="E599">
        <v>158.38999999999999</v>
      </c>
      <c r="F599">
        <v>0.01</v>
      </c>
      <c r="G599">
        <v>0.01</v>
      </c>
      <c r="H599">
        <v>834</v>
      </c>
      <c r="I599">
        <v>40</v>
      </c>
    </row>
    <row r="600" spans="1:9" x14ac:dyDescent="0.3">
      <c r="A600" s="1">
        <v>45748</v>
      </c>
      <c r="B600" t="s">
        <v>68</v>
      </c>
      <c r="C600" t="s">
        <v>36</v>
      </c>
      <c r="D600">
        <v>1.57</v>
      </c>
      <c r="E600">
        <v>84.95</v>
      </c>
      <c r="F600">
        <v>0.01</v>
      </c>
      <c r="G600">
        <v>0</v>
      </c>
      <c r="H600">
        <v>541</v>
      </c>
      <c r="I600">
        <v>42</v>
      </c>
    </row>
    <row r="601" spans="1:9" x14ac:dyDescent="0.3">
      <c r="A601" s="1">
        <v>45748</v>
      </c>
      <c r="B601" t="s">
        <v>70</v>
      </c>
      <c r="C601" t="s">
        <v>36</v>
      </c>
      <c r="D601">
        <v>1.54</v>
      </c>
      <c r="E601">
        <v>263.72000000000003</v>
      </c>
      <c r="F601">
        <v>0.01</v>
      </c>
      <c r="G601">
        <v>0.01</v>
      </c>
      <c r="H601">
        <v>1712</v>
      </c>
      <c r="I601">
        <v>43</v>
      </c>
    </row>
    <row r="602" spans="1:9" x14ac:dyDescent="0.3">
      <c r="A602" s="1">
        <v>45748</v>
      </c>
      <c r="B602" t="s">
        <v>75</v>
      </c>
      <c r="C602" t="s">
        <v>36</v>
      </c>
      <c r="D602">
        <v>1.1000000000000001</v>
      </c>
      <c r="E602">
        <v>213.38</v>
      </c>
      <c r="F602">
        <v>0.01</v>
      </c>
      <c r="G602">
        <v>0.01</v>
      </c>
      <c r="H602">
        <v>1940</v>
      </c>
      <c r="I602">
        <v>44</v>
      </c>
    </row>
    <row r="603" spans="1:9" x14ac:dyDescent="0.3">
      <c r="A603" s="1">
        <v>45748</v>
      </c>
      <c r="B603" t="s">
        <v>115</v>
      </c>
      <c r="C603" t="s">
        <v>36</v>
      </c>
      <c r="D603">
        <v>1.05</v>
      </c>
      <c r="E603">
        <v>541.53</v>
      </c>
      <c r="F603">
        <v>0.01</v>
      </c>
      <c r="G603">
        <v>0.02</v>
      </c>
      <c r="H603">
        <v>5157</v>
      </c>
      <c r="I603">
        <v>45</v>
      </c>
    </row>
    <row r="604" spans="1:9" x14ac:dyDescent="0.3">
      <c r="A604" s="1">
        <v>45748</v>
      </c>
      <c r="B604" t="s">
        <v>76</v>
      </c>
      <c r="C604" t="s">
        <v>36</v>
      </c>
      <c r="D604">
        <v>0.88</v>
      </c>
      <c r="E604">
        <v>107.13</v>
      </c>
      <c r="F604">
        <v>0</v>
      </c>
      <c r="G604">
        <v>0</v>
      </c>
      <c r="H604">
        <v>1217</v>
      </c>
      <c r="I604">
        <v>46</v>
      </c>
    </row>
    <row r="605" spans="1:9" x14ac:dyDescent="0.3">
      <c r="A605" s="1">
        <v>45748</v>
      </c>
      <c r="B605" t="s">
        <v>79</v>
      </c>
      <c r="C605" t="s">
        <v>36</v>
      </c>
      <c r="D605">
        <v>0.8</v>
      </c>
      <c r="E605">
        <v>254.47</v>
      </c>
      <c r="F605">
        <v>0</v>
      </c>
      <c r="G605">
        <v>0.01</v>
      </c>
      <c r="H605">
        <v>3181</v>
      </c>
      <c r="I605">
        <v>47</v>
      </c>
    </row>
    <row r="606" spans="1:9" x14ac:dyDescent="0.3">
      <c r="A606" s="1">
        <v>45748</v>
      </c>
      <c r="B606" t="s">
        <v>98</v>
      </c>
      <c r="C606" t="s">
        <v>36</v>
      </c>
      <c r="D606">
        <v>0.78</v>
      </c>
      <c r="E606">
        <v>59.59</v>
      </c>
      <c r="F606">
        <v>0</v>
      </c>
      <c r="G606">
        <v>0</v>
      </c>
      <c r="H606">
        <v>764</v>
      </c>
      <c r="I606">
        <v>48</v>
      </c>
    </row>
    <row r="607" spans="1:9" x14ac:dyDescent="0.3">
      <c r="A607" s="1">
        <v>45748</v>
      </c>
      <c r="B607" t="s">
        <v>83</v>
      </c>
      <c r="C607" t="s">
        <v>36</v>
      </c>
      <c r="D607">
        <v>0.75</v>
      </c>
      <c r="E607">
        <v>135.57</v>
      </c>
      <c r="F607">
        <v>0</v>
      </c>
      <c r="G607">
        <v>0.01</v>
      </c>
      <c r="H607">
        <v>1808</v>
      </c>
      <c r="I607">
        <v>49</v>
      </c>
    </row>
    <row r="608" spans="1:9" x14ac:dyDescent="0.3">
      <c r="A608" s="1">
        <v>45748</v>
      </c>
      <c r="B608" t="s">
        <v>100</v>
      </c>
      <c r="C608" t="s">
        <v>36</v>
      </c>
      <c r="D608">
        <v>0.74</v>
      </c>
      <c r="E608">
        <v>842.35</v>
      </c>
      <c r="F608">
        <v>0</v>
      </c>
      <c r="G608">
        <v>0.04</v>
      </c>
      <c r="H608">
        <v>11383</v>
      </c>
      <c r="I608">
        <v>50</v>
      </c>
    </row>
    <row r="609" spans="1:9" x14ac:dyDescent="0.3">
      <c r="A609" s="1">
        <v>45748</v>
      </c>
      <c r="B609" t="s">
        <v>73</v>
      </c>
      <c r="C609" t="s">
        <v>36</v>
      </c>
      <c r="D609">
        <v>0.72</v>
      </c>
      <c r="E609">
        <v>243.46</v>
      </c>
      <c r="F609">
        <v>0</v>
      </c>
      <c r="G609">
        <v>0.01</v>
      </c>
      <c r="H609">
        <v>3381</v>
      </c>
      <c r="I609">
        <v>51</v>
      </c>
    </row>
    <row r="610" spans="1:9" x14ac:dyDescent="0.3">
      <c r="A610" s="1">
        <v>45748</v>
      </c>
      <c r="B610" t="s">
        <v>64</v>
      </c>
      <c r="C610" t="s">
        <v>36</v>
      </c>
      <c r="D610">
        <v>0.7</v>
      </c>
      <c r="E610">
        <v>186.42</v>
      </c>
      <c r="F610">
        <v>0</v>
      </c>
      <c r="G610">
        <v>0.01</v>
      </c>
      <c r="H610">
        <v>2663</v>
      </c>
      <c r="I610">
        <v>52</v>
      </c>
    </row>
    <row r="611" spans="1:9" x14ac:dyDescent="0.3">
      <c r="A611" s="1">
        <v>45748</v>
      </c>
      <c r="B611" t="s">
        <v>74</v>
      </c>
      <c r="C611" t="s">
        <v>36</v>
      </c>
      <c r="D611">
        <v>0.68</v>
      </c>
      <c r="E611">
        <v>200.19</v>
      </c>
      <c r="F611">
        <v>0</v>
      </c>
      <c r="G611">
        <v>0.01</v>
      </c>
      <c r="H611">
        <v>2944</v>
      </c>
      <c r="I611">
        <v>53</v>
      </c>
    </row>
    <row r="612" spans="1:9" x14ac:dyDescent="0.3">
      <c r="A612" s="1">
        <v>45748</v>
      </c>
      <c r="B612" t="s">
        <v>72</v>
      </c>
      <c r="C612" t="s">
        <v>36</v>
      </c>
      <c r="D612">
        <v>0.63</v>
      </c>
      <c r="E612">
        <v>32.69</v>
      </c>
      <c r="F612">
        <v>0</v>
      </c>
      <c r="G612">
        <v>0</v>
      </c>
      <c r="H612">
        <v>519</v>
      </c>
      <c r="I612">
        <v>54</v>
      </c>
    </row>
    <row r="613" spans="1:9" x14ac:dyDescent="0.3">
      <c r="A613" s="1">
        <v>45748</v>
      </c>
      <c r="B613" t="s">
        <v>78</v>
      </c>
      <c r="C613" t="s">
        <v>36</v>
      </c>
      <c r="D613">
        <v>0.56999999999999995</v>
      </c>
      <c r="E613">
        <v>178.31</v>
      </c>
      <c r="F613">
        <v>0</v>
      </c>
      <c r="G613">
        <v>0.01</v>
      </c>
      <c r="H613">
        <v>3128</v>
      </c>
      <c r="I613">
        <v>55</v>
      </c>
    </row>
    <row r="614" spans="1:9" x14ac:dyDescent="0.3">
      <c r="A614" s="1">
        <v>45748</v>
      </c>
      <c r="B614" t="s">
        <v>77</v>
      </c>
      <c r="C614" t="s">
        <v>36</v>
      </c>
      <c r="D614">
        <v>0.51</v>
      </c>
      <c r="E614">
        <v>54.6</v>
      </c>
      <c r="F614">
        <v>0</v>
      </c>
      <c r="G614">
        <v>0</v>
      </c>
      <c r="H614">
        <v>1071</v>
      </c>
      <c r="I614">
        <v>56</v>
      </c>
    </row>
    <row r="615" spans="1:9" x14ac:dyDescent="0.3">
      <c r="A615" s="1">
        <v>45748</v>
      </c>
      <c r="B615" t="s">
        <v>84</v>
      </c>
      <c r="C615" t="s">
        <v>36</v>
      </c>
      <c r="D615">
        <v>0.46</v>
      </c>
      <c r="E615">
        <v>116.7</v>
      </c>
      <c r="F615">
        <v>0</v>
      </c>
      <c r="G615">
        <v>0</v>
      </c>
      <c r="H615">
        <v>2537</v>
      </c>
      <c r="I615">
        <v>57</v>
      </c>
    </row>
    <row r="616" spans="1:9" x14ac:dyDescent="0.3">
      <c r="A616" s="1">
        <v>45748</v>
      </c>
      <c r="B616" t="s">
        <v>109</v>
      </c>
      <c r="C616" t="s">
        <v>36</v>
      </c>
      <c r="D616">
        <v>0.44</v>
      </c>
      <c r="E616">
        <v>52.11</v>
      </c>
      <c r="F616">
        <v>0</v>
      </c>
      <c r="G616">
        <v>0</v>
      </c>
      <c r="H616">
        <v>1184</v>
      </c>
      <c r="I616">
        <v>58</v>
      </c>
    </row>
    <row r="617" spans="1:9" x14ac:dyDescent="0.3">
      <c r="A617" s="1">
        <v>45748</v>
      </c>
      <c r="B617" t="s">
        <v>85</v>
      </c>
      <c r="C617" t="s">
        <v>36</v>
      </c>
      <c r="D617">
        <v>0.39</v>
      </c>
      <c r="E617">
        <v>118.54</v>
      </c>
      <c r="F617">
        <v>0</v>
      </c>
      <c r="G617">
        <v>0</v>
      </c>
      <c r="H617">
        <v>3039</v>
      </c>
      <c r="I617">
        <v>59</v>
      </c>
    </row>
    <row r="618" spans="1:9" x14ac:dyDescent="0.3">
      <c r="A618" s="1">
        <v>45748</v>
      </c>
      <c r="B618" t="s">
        <v>102</v>
      </c>
      <c r="C618" t="s">
        <v>36</v>
      </c>
      <c r="D618">
        <v>0.37</v>
      </c>
      <c r="E618">
        <v>17.579999999999998</v>
      </c>
      <c r="F618">
        <v>0</v>
      </c>
      <c r="G618">
        <v>0</v>
      </c>
      <c r="H618">
        <v>475</v>
      </c>
      <c r="I618">
        <v>60</v>
      </c>
    </row>
    <row r="619" spans="1:9" x14ac:dyDescent="0.3">
      <c r="A619" s="1">
        <v>45748</v>
      </c>
      <c r="B619" t="s">
        <v>89</v>
      </c>
      <c r="C619" t="s">
        <v>36</v>
      </c>
      <c r="D619">
        <v>0.3</v>
      </c>
      <c r="E619">
        <v>90.46</v>
      </c>
      <c r="F619">
        <v>0</v>
      </c>
      <c r="G619">
        <v>0</v>
      </c>
      <c r="H619">
        <v>3015</v>
      </c>
      <c r="I619">
        <v>61</v>
      </c>
    </row>
    <row r="620" spans="1:9" x14ac:dyDescent="0.3">
      <c r="A620" s="1">
        <v>45748</v>
      </c>
      <c r="B620" t="s">
        <v>86</v>
      </c>
      <c r="C620" t="s">
        <v>36</v>
      </c>
      <c r="D620">
        <v>0.27</v>
      </c>
      <c r="E620">
        <v>63.56</v>
      </c>
      <c r="F620">
        <v>0</v>
      </c>
      <c r="G620">
        <v>0</v>
      </c>
      <c r="H620">
        <v>2354</v>
      </c>
      <c r="I620">
        <v>62</v>
      </c>
    </row>
    <row r="621" spans="1:9" x14ac:dyDescent="0.3">
      <c r="A621" s="1">
        <v>45748</v>
      </c>
      <c r="B621" t="s">
        <v>88</v>
      </c>
      <c r="C621" t="s">
        <v>36</v>
      </c>
      <c r="D621">
        <v>0.24</v>
      </c>
      <c r="E621">
        <v>58.02</v>
      </c>
      <c r="F621">
        <v>0</v>
      </c>
      <c r="G621">
        <v>0</v>
      </c>
      <c r="H621">
        <v>2418</v>
      </c>
      <c r="I621">
        <v>63</v>
      </c>
    </row>
    <row r="622" spans="1:9" x14ac:dyDescent="0.3">
      <c r="A622" s="1">
        <v>45748</v>
      </c>
      <c r="B622" t="s">
        <v>112</v>
      </c>
      <c r="C622" t="s">
        <v>36</v>
      </c>
      <c r="D622">
        <v>0.23</v>
      </c>
      <c r="E622">
        <v>25.72</v>
      </c>
      <c r="F622">
        <v>0</v>
      </c>
      <c r="G622">
        <v>0</v>
      </c>
      <c r="H622">
        <v>1118</v>
      </c>
      <c r="I622">
        <v>64</v>
      </c>
    </row>
    <row r="623" spans="1:9" x14ac:dyDescent="0.3">
      <c r="A623" s="1">
        <v>45748</v>
      </c>
      <c r="B623" t="s">
        <v>114</v>
      </c>
      <c r="C623" t="s">
        <v>36</v>
      </c>
      <c r="D623">
        <v>0.22</v>
      </c>
      <c r="E623">
        <v>28.84</v>
      </c>
      <c r="F623">
        <v>0</v>
      </c>
      <c r="G623">
        <v>0</v>
      </c>
      <c r="H623">
        <v>1311</v>
      </c>
      <c r="I623">
        <v>65</v>
      </c>
    </row>
    <row r="624" spans="1:9" x14ac:dyDescent="0.3">
      <c r="A624" s="1">
        <v>45748</v>
      </c>
      <c r="B624" t="s">
        <v>113</v>
      </c>
      <c r="C624" t="s">
        <v>36</v>
      </c>
      <c r="D624">
        <v>0.17</v>
      </c>
      <c r="E624">
        <v>12.63</v>
      </c>
      <c r="F624">
        <v>0</v>
      </c>
      <c r="G624">
        <v>0</v>
      </c>
      <c r="H624">
        <v>743</v>
      </c>
      <c r="I624">
        <v>66</v>
      </c>
    </row>
    <row r="625" spans="1:9" x14ac:dyDescent="0.3">
      <c r="A625" s="1">
        <v>45748</v>
      </c>
      <c r="B625" t="s">
        <v>90</v>
      </c>
      <c r="C625" t="s">
        <v>36</v>
      </c>
      <c r="D625">
        <v>0.16</v>
      </c>
      <c r="E625">
        <v>7.15</v>
      </c>
      <c r="F625">
        <v>0</v>
      </c>
      <c r="G625">
        <v>0</v>
      </c>
      <c r="H625">
        <v>447</v>
      </c>
      <c r="I625">
        <v>67</v>
      </c>
    </row>
    <row r="626" spans="1:9" x14ac:dyDescent="0.3">
      <c r="A626" s="1">
        <v>45748</v>
      </c>
      <c r="B626" t="s">
        <v>97</v>
      </c>
      <c r="C626" t="s">
        <v>36</v>
      </c>
      <c r="D626">
        <v>0.15</v>
      </c>
      <c r="E626">
        <v>16.93</v>
      </c>
      <c r="F626">
        <v>0</v>
      </c>
      <c r="G626">
        <v>0</v>
      </c>
      <c r="H626">
        <v>1129</v>
      </c>
      <c r="I626">
        <v>68</v>
      </c>
    </row>
    <row r="627" spans="1:9" x14ac:dyDescent="0.3">
      <c r="A627" s="1">
        <v>45748</v>
      </c>
      <c r="B627" t="s">
        <v>93</v>
      </c>
      <c r="C627" t="s">
        <v>36</v>
      </c>
      <c r="D627">
        <v>0.13</v>
      </c>
      <c r="E627">
        <v>47.44</v>
      </c>
      <c r="F627">
        <v>0</v>
      </c>
      <c r="G627">
        <v>0</v>
      </c>
      <c r="H627">
        <v>3649</v>
      </c>
      <c r="I627">
        <v>69</v>
      </c>
    </row>
    <row r="628" spans="1:9" x14ac:dyDescent="0.3">
      <c r="A628" s="1">
        <v>45748</v>
      </c>
      <c r="B628" t="s">
        <v>92</v>
      </c>
      <c r="C628" t="s">
        <v>36</v>
      </c>
      <c r="D628">
        <v>0.11</v>
      </c>
      <c r="E628">
        <v>58.73</v>
      </c>
      <c r="F628">
        <v>0</v>
      </c>
      <c r="G628">
        <v>0</v>
      </c>
      <c r="H628">
        <v>5339</v>
      </c>
      <c r="I628">
        <v>70</v>
      </c>
    </row>
    <row r="629" spans="1:9" x14ac:dyDescent="0.3">
      <c r="A629" s="1">
        <v>45748</v>
      </c>
      <c r="B629" t="s">
        <v>91</v>
      </c>
      <c r="C629" t="s">
        <v>36</v>
      </c>
      <c r="D629">
        <v>0.1</v>
      </c>
      <c r="E629">
        <v>8.26</v>
      </c>
      <c r="F629">
        <v>0</v>
      </c>
      <c r="G629">
        <v>0</v>
      </c>
      <c r="H629">
        <v>826</v>
      </c>
      <c r="I629">
        <v>71</v>
      </c>
    </row>
    <row r="630" spans="1:9" x14ac:dyDescent="0.3">
      <c r="A630" s="1">
        <v>45748</v>
      </c>
      <c r="B630" t="s">
        <v>101</v>
      </c>
      <c r="C630" t="s">
        <v>36</v>
      </c>
      <c r="D630">
        <v>0.09</v>
      </c>
      <c r="E630">
        <v>33.47</v>
      </c>
      <c r="F630">
        <v>0</v>
      </c>
      <c r="G630">
        <v>0</v>
      </c>
      <c r="H630">
        <v>3719</v>
      </c>
      <c r="I630">
        <v>72</v>
      </c>
    </row>
    <row r="631" spans="1:9" x14ac:dyDescent="0.3">
      <c r="A631" s="1">
        <v>45748</v>
      </c>
      <c r="B631" t="s">
        <v>99</v>
      </c>
      <c r="C631" t="s">
        <v>36</v>
      </c>
      <c r="D631">
        <v>0.09</v>
      </c>
      <c r="E631">
        <v>3.02</v>
      </c>
      <c r="F631">
        <v>0</v>
      </c>
      <c r="G631">
        <v>0</v>
      </c>
      <c r="H631">
        <v>336</v>
      </c>
      <c r="I631">
        <v>72</v>
      </c>
    </row>
    <row r="632" spans="1:9" x14ac:dyDescent="0.3">
      <c r="A632" s="1">
        <v>45748</v>
      </c>
      <c r="B632" t="s">
        <v>96</v>
      </c>
      <c r="C632" t="s">
        <v>36</v>
      </c>
      <c r="D632">
        <v>0.09</v>
      </c>
      <c r="E632">
        <v>31.21</v>
      </c>
      <c r="F632">
        <v>0</v>
      </c>
      <c r="G632">
        <v>0</v>
      </c>
      <c r="H632">
        <v>3468</v>
      </c>
      <c r="I632">
        <v>72</v>
      </c>
    </row>
    <row r="633" spans="1:9" x14ac:dyDescent="0.3">
      <c r="A633" s="1">
        <v>45748</v>
      </c>
      <c r="B633" t="s">
        <v>95</v>
      </c>
      <c r="C633" t="s">
        <v>36</v>
      </c>
      <c r="D633">
        <v>0.08</v>
      </c>
      <c r="E633">
        <v>29.3</v>
      </c>
      <c r="F633">
        <v>0</v>
      </c>
      <c r="G633">
        <v>0</v>
      </c>
      <c r="H633">
        <v>3663</v>
      </c>
      <c r="I633">
        <v>75</v>
      </c>
    </row>
    <row r="634" spans="1:9" x14ac:dyDescent="0.3">
      <c r="A634" s="1">
        <v>45748</v>
      </c>
      <c r="B634" t="s">
        <v>111</v>
      </c>
      <c r="C634" t="s">
        <v>36</v>
      </c>
      <c r="D634">
        <v>7.0000000000000007E-2</v>
      </c>
      <c r="E634">
        <v>27.48</v>
      </c>
      <c r="F634">
        <v>0</v>
      </c>
      <c r="G634">
        <v>0</v>
      </c>
      <c r="H634">
        <v>3926</v>
      </c>
      <c r="I634">
        <v>76</v>
      </c>
    </row>
    <row r="635" spans="1:9" x14ac:dyDescent="0.3">
      <c r="A635" s="1">
        <v>45748</v>
      </c>
      <c r="B635" t="s">
        <v>94</v>
      </c>
      <c r="C635" t="s">
        <v>36</v>
      </c>
      <c r="D635">
        <v>0.06</v>
      </c>
      <c r="E635">
        <v>6.78</v>
      </c>
      <c r="F635">
        <v>0</v>
      </c>
      <c r="G635">
        <v>0</v>
      </c>
      <c r="H635">
        <v>1130</v>
      </c>
      <c r="I635">
        <v>77</v>
      </c>
    </row>
    <row r="636" spans="1:9" x14ac:dyDescent="0.3">
      <c r="A636" s="1">
        <v>45748</v>
      </c>
      <c r="B636" t="s">
        <v>103</v>
      </c>
      <c r="C636" t="s">
        <v>36</v>
      </c>
      <c r="D636">
        <v>0.04</v>
      </c>
      <c r="E636">
        <v>2.6</v>
      </c>
      <c r="F636">
        <v>0</v>
      </c>
      <c r="G636">
        <v>0</v>
      </c>
      <c r="H636">
        <v>650</v>
      </c>
      <c r="I636">
        <v>78</v>
      </c>
    </row>
    <row r="637" spans="1:9" x14ac:dyDescent="0.3">
      <c r="A637" s="1">
        <v>45748</v>
      </c>
      <c r="B637" t="s">
        <v>117</v>
      </c>
      <c r="C637" t="s">
        <v>36</v>
      </c>
      <c r="D637">
        <v>0.04</v>
      </c>
      <c r="E637">
        <v>4.79</v>
      </c>
      <c r="F637">
        <v>0</v>
      </c>
      <c r="G637">
        <v>0</v>
      </c>
      <c r="H637">
        <v>1198</v>
      </c>
      <c r="I637">
        <v>78</v>
      </c>
    </row>
    <row r="638" spans="1:9" x14ac:dyDescent="0.3">
      <c r="A638" s="1">
        <v>45748</v>
      </c>
      <c r="B638" t="s">
        <v>118</v>
      </c>
      <c r="C638" t="s">
        <v>36</v>
      </c>
      <c r="D638">
        <v>0.03</v>
      </c>
      <c r="E638">
        <v>6.73</v>
      </c>
      <c r="F638">
        <v>0</v>
      </c>
      <c r="G638">
        <v>0</v>
      </c>
      <c r="H638">
        <v>2243</v>
      </c>
      <c r="I638">
        <v>80</v>
      </c>
    </row>
    <row r="639" spans="1:9" x14ac:dyDescent="0.3">
      <c r="A639" s="1">
        <v>45748</v>
      </c>
      <c r="B639" t="s">
        <v>104</v>
      </c>
      <c r="C639" t="s">
        <v>36</v>
      </c>
      <c r="D639">
        <v>0.03</v>
      </c>
      <c r="E639">
        <v>9.5</v>
      </c>
      <c r="F639">
        <v>0</v>
      </c>
      <c r="G639">
        <v>0</v>
      </c>
      <c r="H639">
        <v>3167</v>
      </c>
      <c r="I639">
        <v>80</v>
      </c>
    </row>
    <row r="640" spans="1:9" x14ac:dyDescent="0.3">
      <c r="A640" s="1">
        <v>45748</v>
      </c>
      <c r="B640" t="s">
        <v>110</v>
      </c>
      <c r="C640" t="s">
        <v>36</v>
      </c>
      <c r="D640">
        <v>0.02</v>
      </c>
      <c r="E640">
        <v>1.72</v>
      </c>
      <c r="F640">
        <v>0</v>
      </c>
      <c r="G640">
        <v>0</v>
      </c>
      <c r="H640">
        <v>860</v>
      </c>
      <c r="I640">
        <v>82</v>
      </c>
    </row>
    <row r="641" spans="1:9" x14ac:dyDescent="0.3">
      <c r="A641" s="1">
        <v>45748</v>
      </c>
      <c r="B641" t="s">
        <v>116</v>
      </c>
      <c r="C641" t="s">
        <v>36</v>
      </c>
      <c r="D641">
        <v>0.02</v>
      </c>
      <c r="E641">
        <v>6.66</v>
      </c>
      <c r="F641">
        <v>0</v>
      </c>
      <c r="G641">
        <v>0</v>
      </c>
      <c r="H641">
        <v>3330</v>
      </c>
      <c r="I641">
        <v>82</v>
      </c>
    </row>
    <row r="642" spans="1:9" x14ac:dyDescent="0.3">
      <c r="A642" s="1">
        <v>45778</v>
      </c>
      <c r="B642" t="s">
        <v>32</v>
      </c>
      <c r="C642" t="s">
        <v>32</v>
      </c>
      <c r="D642">
        <v>8682.08</v>
      </c>
      <c r="E642">
        <v>1256541.0900000001</v>
      </c>
      <c r="F642">
        <v>46.48</v>
      </c>
      <c r="G642">
        <v>49.98</v>
      </c>
      <c r="H642">
        <v>1447</v>
      </c>
      <c r="I642">
        <v>1</v>
      </c>
    </row>
    <row r="643" spans="1:9" x14ac:dyDescent="0.3">
      <c r="A643" s="1">
        <v>45778</v>
      </c>
      <c r="B643" t="s">
        <v>33</v>
      </c>
      <c r="C643" t="s">
        <v>33</v>
      </c>
      <c r="D643">
        <v>6740.42</v>
      </c>
      <c r="E643">
        <v>884735.12</v>
      </c>
      <c r="F643">
        <v>36.090000000000003</v>
      </c>
      <c r="G643">
        <v>35.19</v>
      </c>
      <c r="H643">
        <v>1313</v>
      </c>
      <c r="I643">
        <v>2</v>
      </c>
    </row>
    <row r="644" spans="1:9" x14ac:dyDescent="0.3">
      <c r="A644" s="1">
        <v>45778</v>
      </c>
      <c r="B644" t="s">
        <v>34</v>
      </c>
      <c r="C644" t="s">
        <v>34</v>
      </c>
      <c r="D644">
        <v>1277.56</v>
      </c>
      <c r="E644">
        <v>138068.97</v>
      </c>
      <c r="F644">
        <v>6.84</v>
      </c>
      <c r="G644">
        <v>5.49</v>
      </c>
      <c r="H644">
        <v>1081</v>
      </c>
      <c r="I644">
        <v>3</v>
      </c>
    </row>
    <row r="645" spans="1:9" x14ac:dyDescent="0.3">
      <c r="A645" s="1">
        <v>45778</v>
      </c>
      <c r="B645" t="s">
        <v>37</v>
      </c>
      <c r="C645" t="s">
        <v>36</v>
      </c>
      <c r="D645">
        <v>386.21</v>
      </c>
      <c r="E645">
        <v>21350.35</v>
      </c>
      <c r="F645">
        <v>2.0699999999999998</v>
      </c>
      <c r="G645">
        <v>0.85</v>
      </c>
      <c r="H645">
        <v>553</v>
      </c>
      <c r="I645">
        <v>4</v>
      </c>
    </row>
    <row r="646" spans="1:9" x14ac:dyDescent="0.3">
      <c r="A646" s="1">
        <v>45778</v>
      </c>
      <c r="B646" t="s">
        <v>47</v>
      </c>
      <c r="C646" t="s">
        <v>36</v>
      </c>
      <c r="D646">
        <v>203.42</v>
      </c>
      <c r="E646">
        <v>7054.28</v>
      </c>
      <c r="F646">
        <v>1.0900000000000001</v>
      </c>
      <c r="G646">
        <v>0.28000000000000003</v>
      </c>
      <c r="H646">
        <v>347</v>
      </c>
      <c r="I646">
        <v>5</v>
      </c>
    </row>
    <row r="647" spans="1:9" x14ac:dyDescent="0.3">
      <c r="A647" s="1">
        <v>45778</v>
      </c>
      <c r="B647" t="s">
        <v>35</v>
      </c>
      <c r="C647" t="s">
        <v>36</v>
      </c>
      <c r="D647">
        <v>141.94999999999999</v>
      </c>
      <c r="E647">
        <v>55242.720000000001</v>
      </c>
      <c r="F647">
        <v>0.76</v>
      </c>
      <c r="G647">
        <v>2.2000000000000002</v>
      </c>
      <c r="H647">
        <v>3892</v>
      </c>
      <c r="I647">
        <v>6</v>
      </c>
    </row>
    <row r="648" spans="1:9" x14ac:dyDescent="0.3">
      <c r="A648" s="1">
        <v>45778</v>
      </c>
      <c r="B648" t="s">
        <v>38</v>
      </c>
      <c r="C648" t="s">
        <v>36</v>
      </c>
      <c r="D648">
        <v>120.03</v>
      </c>
      <c r="E648">
        <v>9683.82</v>
      </c>
      <c r="F648">
        <v>0.64</v>
      </c>
      <c r="G648">
        <v>0.39</v>
      </c>
      <c r="H648">
        <v>807</v>
      </c>
      <c r="I648">
        <v>7</v>
      </c>
    </row>
    <row r="649" spans="1:9" x14ac:dyDescent="0.3">
      <c r="A649" s="1">
        <v>45778</v>
      </c>
      <c r="B649" t="s">
        <v>40</v>
      </c>
      <c r="C649" t="s">
        <v>36</v>
      </c>
      <c r="D649">
        <v>110.38</v>
      </c>
      <c r="E649">
        <v>1415.4</v>
      </c>
      <c r="F649">
        <v>0.59</v>
      </c>
      <c r="G649">
        <v>0.06</v>
      </c>
      <c r="H649">
        <v>128</v>
      </c>
      <c r="I649">
        <v>8</v>
      </c>
    </row>
    <row r="650" spans="1:9" x14ac:dyDescent="0.3">
      <c r="A650" s="1">
        <v>45778</v>
      </c>
      <c r="B650" t="s">
        <v>39</v>
      </c>
      <c r="C650" t="s">
        <v>36</v>
      </c>
      <c r="D650">
        <v>98.68</v>
      </c>
      <c r="E650">
        <v>10343.44</v>
      </c>
      <c r="F650">
        <v>0.53</v>
      </c>
      <c r="G650">
        <v>0.41</v>
      </c>
      <c r="H650">
        <v>1048</v>
      </c>
      <c r="I650">
        <v>9</v>
      </c>
    </row>
    <row r="651" spans="1:9" x14ac:dyDescent="0.3">
      <c r="A651" s="1">
        <v>45778</v>
      </c>
      <c r="B651" t="s">
        <v>42</v>
      </c>
      <c r="C651" t="s">
        <v>36</v>
      </c>
      <c r="D651">
        <v>70.19</v>
      </c>
      <c r="E651">
        <v>5280.89</v>
      </c>
      <c r="F651">
        <v>0.38</v>
      </c>
      <c r="G651">
        <v>0.21</v>
      </c>
      <c r="H651">
        <v>752</v>
      </c>
      <c r="I651">
        <v>10</v>
      </c>
    </row>
    <row r="652" spans="1:9" x14ac:dyDescent="0.3">
      <c r="A652" s="1">
        <v>45778</v>
      </c>
      <c r="B652" t="s">
        <v>46</v>
      </c>
      <c r="C652" t="s">
        <v>36</v>
      </c>
      <c r="D652">
        <v>64.599999999999994</v>
      </c>
      <c r="E652">
        <v>11243.73</v>
      </c>
      <c r="F652">
        <v>0.35</v>
      </c>
      <c r="G652">
        <v>0.45</v>
      </c>
      <c r="H652">
        <v>1741</v>
      </c>
      <c r="I652">
        <v>11</v>
      </c>
    </row>
    <row r="653" spans="1:9" x14ac:dyDescent="0.3">
      <c r="A653" s="1">
        <v>45778</v>
      </c>
      <c r="B653" t="s">
        <v>44</v>
      </c>
      <c r="C653" t="s">
        <v>36</v>
      </c>
      <c r="D653">
        <v>63.19</v>
      </c>
      <c r="E653">
        <v>14806.6</v>
      </c>
      <c r="F653">
        <v>0.34</v>
      </c>
      <c r="G653">
        <v>0.59</v>
      </c>
      <c r="H653">
        <v>2343</v>
      </c>
      <c r="I653">
        <v>12</v>
      </c>
    </row>
    <row r="654" spans="1:9" x14ac:dyDescent="0.3">
      <c r="A654" s="1">
        <v>45778</v>
      </c>
      <c r="B654" t="s">
        <v>43</v>
      </c>
      <c r="C654" t="s">
        <v>36</v>
      </c>
      <c r="D654">
        <v>59.74</v>
      </c>
      <c r="E654">
        <v>7862.6</v>
      </c>
      <c r="F654">
        <v>0.32</v>
      </c>
      <c r="G654">
        <v>0.31</v>
      </c>
      <c r="H654">
        <v>1316</v>
      </c>
      <c r="I654">
        <v>13</v>
      </c>
    </row>
    <row r="655" spans="1:9" x14ac:dyDescent="0.3">
      <c r="A655" s="1">
        <v>45778</v>
      </c>
      <c r="B655" t="s">
        <v>41</v>
      </c>
      <c r="C655" t="s">
        <v>36</v>
      </c>
      <c r="D655">
        <v>59.47</v>
      </c>
      <c r="E655">
        <v>16689.54</v>
      </c>
      <c r="F655">
        <v>0.32</v>
      </c>
      <c r="G655">
        <v>0.66</v>
      </c>
      <c r="H655">
        <v>2806</v>
      </c>
      <c r="I655">
        <v>14</v>
      </c>
    </row>
    <row r="656" spans="1:9" x14ac:dyDescent="0.3">
      <c r="A656" s="1">
        <v>45778</v>
      </c>
      <c r="B656" t="s">
        <v>45</v>
      </c>
      <c r="C656" t="s">
        <v>36</v>
      </c>
      <c r="D656">
        <v>53.52</v>
      </c>
      <c r="E656">
        <v>9518.9599999999991</v>
      </c>
      <c r="F656">
        <v>0.28999999999999998</v>
      </c>
      <c r="G656">
        <v>0.38</v>
      </c>
      <c r="H656">
        <v>1779</v>
      </c>
      <c r="I656">
        <v>15</v>
      </c>
    </row>
    <row r="657" spans="1:9" x14ac:dyDescent="0.3">
      <c r="A657" s="1">
        <v>45778</v>
      </c>
      <c r="B657" t="s">
        <v>49</v>
      </c>
      <c r="C657" t="s">
        <v>36</v>
      </c>
      <c r="D657">
        <v>33.92</v>
      </c>
      <c r="E657">
        <v>4674.33</v>
      </c>
      <c r="F657">
        <v>0.18</v>
      </c>
      <c r="G657">
        <v>0.19</v>
      </c>
      <c r="H657">
        <v>1378</v>
      </c>
      <c r="I657">
        <v>16</v>
      </c>
    </row>
    <row r="658" spans="1:9" x14ac:dyDescent="0.3">
      <c r="A658" s="1">
        <v>45778</v>
      </c>
      <c r="B658" t="s">
        <v>48</v>
      </c>
      <c r="C658" t="s">
        <v>36</v>
      </c>
      <c r="D658">
        <v>20.14</v>
      </c>
      <c r="E658">
        <v>1447.35</v>
      </c>
      <c r="F658">
        <v>0.11</v>
      </c>
      <c r="G658">
        <v>0.06</v>
      </c>
      <c r="H658">
        <v>719</v>
      </c>
      <c r="I658">
        <v>17</v>
      </c>
    </row>
    <row r="659" spans="1:9" x14ac:dyDescent="0.3">
      <c r="A659" s="1">
        <v>45778</v>
      </c>
      <c r="B659" t="s">
        <v>53</v>
      </c>
      <c r="C659" t="s">
        <v>36</v>
      </c>
      <c r="D659">
        <v>19.850000000000001</v>
      </c>
      <c r="E659">
        <v>2330.2199999999998</v>
      </c>
      <c r="F659">
        <v>0.11</v>
      </c>
      <c r="G659">
        <v>0.09</v>
      </c>
      <c r="H659">
        <v>1174</v>
      </c>
      <c r="I659">
        <v>18</v>
      </c>
    </row>
    <row r="660" spans="1:9" x14ac:dyDescent="0.3">
      <c r="A660" s="1">
        <v>45778</v>
      </c>
      <c r="B660" t="s">
        <v>57</v>
      </c>
      <c r="C660" t="s">
        <v>36</v>
      </c>
      <c r="D660">
        <v>16.510000000000002</v>
      </c>
      <c r="E660">
        <v>1834.83</v>
      </c>
      <c r="F660">
        <v>0.09</v>
      </c>
      <c r="G660">
        <v>7.0000000000000007E-2</v>
      </c>
      <c r="H660">
        <v>1111</v>
      </c>
      <c r="I660">
        <v>19</v>
      </c>
    </row>
    <row r="661" spans="1:9" x14ac:dyDescent="0.3">
      <c r="A661" s="1">
        <v>45778</v>
      </c>
      <c r="B661" t="s">
        <v>55</v>
      </c>
      <c r="C661" t="s">
        <v>36</v>
      </c>
      <c r="D661">
        <v>16.21</v>
      </c>
      <c r="E661">
        <v>2493.29</v>
      </c>
      <c r="F661">
        <v>0.09</v>
      </c>
      <c r="G661">
        <v>0.1</v>
      </c>
      <c r="H661">
        <v>1538</v>
      </c>
      <c r="I661">
        <v>20</v>
      </c>
    </row>
    <row r="662" spans="1:9" x14ac:dyDescent="0.3">
      <c r="A662" s="1">
        <v>45778</v>
      </c>
      <c r="B662" t="s">
        <v>65</v>
      </c>
      <c r="C662" t="s">
        <v>36</v>
      </c>
      <c r="D662">
        <v>13.59</v>
      </c>
      <c r="E662">
        <v>500.88</v>
      </c>
      <c r="F662">
        <v>7.0000000000000007E-2</v>
      </c>
      <c r="G662">
        <v>0.02</v>
      </c>
      <c r="H662">
        <v>369</v>
      </c>
      <c r="I662">
        <v>21</v>
      </c>
    </row>
    <row r="663" spans="1:9" x14ac:dyDescent="0.3">
      <c r="A663" s="1">
        <v>45778</v>
      </c>
      <c r="B663" t="s">
        <v>54</v>
      </c>
      <c r="C663" t="s">
        <v>36</v>
      </c>
      <c r="D663">
        <v>13.48</v>
      </c>
      <c r="E663">
        <v>3700.3</v>
      </c>
      <c r="F663">
        <v>7.0000000000000007E-2</v>
      </c>
      <c r="G663">
        <v>0.15</v>
      </c>
      <c r="H663">
        <v>2745</v>
      </c>
      <c r="I663">
        <v>22</v>
      </c>
    </row>
    <row r="664" spans="1:9" x14ac:dyDescent="0.3">
      <c r="A664" s="1">
        <v>45778</v>
      </c>
      <c r="B664" t="s">
        <v>67</v>
      </c>
      <c r="C664" t="s">
        <v>36</v>
      </c>
      <c r="D664">
        <v>13.27</v>
      </c>
      <c r="E664">
        <v>1762.42</v>
      </c>
      <c r="F664">
        <v>7.0000000000000007E-2</v>
      </c>
      <c r="G664">
        <v>7.0000000000000007E-2</v>
      </c>
      <c r="H664">
        <v>1328</v>
      </c>
      <c r="I664">
        <v>23</v>
      </c>
    </row>
    <row r="665" spans="1:9" x14ac:dyDescent="0.3">
      <c r="A665" s="1">
        <v>45778</v>
      </c>
      <c r="B665" t="s">
        <v>50</v>
      </c>
      <c r="C665" t="s">
        <v>36</v>
      </c>
      <c r="D665">
        <v>12.14</v>
      </c>
      <c r="E665">
        <v>8443.0499999999993</v>
      </c>
      <c r="F665">
        <v>0.06</v>
      </c>
      <c r="G665">
        <v>0.34</v>
      </c>
      <c r="H665">
        <v>6955</v>
      </c>
      <c r="I665">
        <v>24</v>
      </c>
    </row>
    <row r="666" spans="1:9" x14ac:dyDescent="0.3">
      <c r="A666" s="1">
        <v>45778</v>
      </c>
      <c r="B666" t="s">
        <v>52</v>
      </c>
      <c r="C666" t="s">
        <v>36</v>
      </c>
      <c r="D666">
        <v>10.67</v>
      </c>
      <c r="E666">
        <v>2219.9499999999998</v>
      </c>
      <c r="F666">
        <v>0.06</v>
      </c>
      <c r="G666">
        <v>0.09</v>
      </c>
      <c r="H666">
        <v>2081</v>
      </c>
      <c r="I666">
        <v>25</v>
      </c>
    </row>
    <row r="667" spans="1:9" x14ac:dyDescent="0.3">
      <c r="A667" s="1">
        <v>45778</v>
      </c>
      <c r="B667" t="s">
        <v>56</v>
      </c>
      <c r="C667" t="s">
        <v>36</v>
      </c>
      <c r="D667">
        <v>9.14</v>
      </c>
      <c r="E667">
        <v>656.92</v>
      </c>
      <c r="F667">
        <v>0.05</v>
      </c>
      <c r="G667">
        <v>0.03</v>
      </c>
      <c r="H667">
        <v>719</v>
      </c>
      <c r="I667">
        <v>26</v>
      </c>
    </row>
    <row r="668" spans="1:9" x14ac:dyDescent="0.3">
      <c r="A668" s="1">
        <v>45778</v>
      </c>
      <c r="B668" t="s">
        <v>59</v>
      </c>
      <c r="C668" t="s">
        <v>36</v>
      </c>
      <c r="D668">
        <v>6.4</v>
      </c>
      <c r="E668">
        <v>950.85</v>
      </c>
      <c r="F668">
        <v>0.03</v>
      </c>
      <c r="G668">
        <v>0.04</v>
      </c>
      <c r="H668">
        <v>1486</v>
      </c>
      <c r="I668">
        <v>27</v>
      </c>
    </row>
    <row r="669" spans="1:9" x14ac:dyDescent="0.3">
      <c r="A669" s="1">
        <v>45778</v>
      </c>
      <c r="B669" t="s">
        <v>58</v>
      </c>
      <c r="C669" t="s">
        <v>36</v>
      </c>
      <c r="D669">
        <v>5.09</v>
      </c>
      <c r="E669">
        <v>982.11</v>
      </c>
      <c r="F669">
        <v>0.03</v>
      </c>
      <c r="G669">
        <v>0.04</v>
      </c>
      <c r="H669">
        <v>1929</v>
      </c>
      <c r="I669">
        <v>28</v>
      </c>
    </row>
    <row r="670" spans="1:9" x14ac:dyDescent="0.3">
      <c r="A670" s="1">
        <v>45778</v>
      </c>
      <c r="B670" t="s">
        <v>62</v>
      </c>
      <c r="C670" t="s">
        <v>36</v>
      </c>
      <c r="D670">
        <v>4.7</v>
      </c>
      <c r="E670">
        <v>341.19</v>
      </c>
      <c r="F670">
        <v>0.03</v>
      </c>
      <c r="G670">
        <v>0.01</v>
      </c>
      <c r="H670">
        <v>726</v>
      </c>
      <c r="I670">
        <v>29</v>
      </c>
    </row>
    <row r="671" spans="1:9" x14ac:dyDescent="0.3">
      <c r="A671" s="1">
        <v>45778</v>
      </c>
      <c r="B671" t="s">
        <v>60</v>
      </c>
      <c r="C671" t="s">
        <v>36</v>
      </c>
      <c r="D671">
        <v>4.0199999999999996</v>
      </c>
      <c r="E671">
        <v>723.88</v>
      </c>
      <c r="F671">
        <v>0.02</v>
      </c>
      <c r="G671">
        <v>0.03</v>
      </c>
      <c r="H671">
        <v>1801</v>
      </c>
      <c r="I671">
        <v>30</v>
      </c>
    </row>
    <row r="672" spans="1:9" x14ac:dyDescent="0.3">
      <c r="A672" s="1">
        <v>45778</v>
      </c>
      <c r="B672" t="s">
        <v>66</v>
      </c>
      <c r="C672" t="s">
        <v>36</v>
      </c>
      <c r="D672">
        <v>3.9</v>
      </c>
      <c r="E672">
        <v>50.01</v>
      </c>
      <c r="F672">
        <v>0.02</v>
      </c>
      <c r="G672">
        <v>0</v>
      </c>
      <c r="H672">
        <v>128</v>
      </c>
      <c r="I672">
        <v>31</v>
      </c>
    </row>
    <row r="673" spans="1:9" x14ac:dyDescent="0.3">
      <c r="A673" s="1">
        <v>45778</v>
      </c>
      <c r="B673" t="s">
        <v>61</v>
      </c>
      <c r="C673" t="s">
        <v>36</v>
      </c>
      <c r="D673">
        <v>3.85</v>
      </c>
      <c r="E673">
        <v>992.9</v>
      </c>
      <c r="F673">
        <v>0.02</v>
      </c>
      <c r="G673">
        <v>0.04</v>
      </c>
      <c r="H673">
        <v>2579</v>
      </c>
      <c r="I673">
        <v>32</v>
      </c>
    </row>
    <row r="674" spans="1:9" x14ac:dyDescent="0.3">
      <c r="A674" s="1">
        <v>45778</v>
      </c>
      <c r="B674" t="s">
        <v>63</v>
      </c>
      <c r="C674" t="s">
        <v>36</v>
      </c>
      <c r="D674">
        <v>3.6</v>
      </c>
      <c r="E674">
        <v>953.88</v>
      </c>
      <c r="F674">
        <v>0.02</v>
      </c>
      <c r="G674">
        <v>0.04</v>
      </c>
      <c r="H674">
        <v>2650</v>
      </c>
      <c r="I674">
        <v>33</v>
      </c>
    </row>
    <row r="675" spans="1:9" x14ac:dyDescent="0.3">
      <c r="A675" s="1">
        <v>45778</v>
      </c>
      <c r="B675" t="s">
        <v>82</v>
      </c>
      <c r="C675" t="s">
        <v>36</v>
      </c>
      <c r="D675">
        <v>3.58</v>
      </c>
      <c r="E675">
        <v>428.68</v>
      </c>
      <c r="F675">
        <v>0.02</v>
      </c>
      <c r="G675">
        <v>0.02</v>
      </c>
      <c r="H675">
        <v>1197</v>
      </c>
      <c r="I675">
        <v>34</v>
      </c>
    </row>
    <row r="676" spans="1:9" x14ac:dyDescent="0.3">
      <c r="A676" s="1">
        <v>45778</v>
      </c>
      <c r="B676" t="s">
        <v>51</v>
      </c>
      <c r="C676" t="s">
        <v>36</v>
      </c>
      <c r="D676">
        <v>3.23</v>
      </c>
      <c r="E676">
        <v>187.83</v>
      </c>
      <c r="F676">
        <v>0.02</v>
      </c>
      <c r="G676">
        <v>0.01</v>
      </c>
      <c r="H676">
        <v>582</v>
      </c>
      <c r="I676">
        <v>35</v>
      </c>
    </row>
    <row r="677" spans="1:9" x14ac:dyDescent="0.3">
      <c r="A677" s="1">
        <v>45778</v>
      </c>
      <c r="B677" t="s">
        <v>87</v>
      </c>
      <c r="C677" t="s">
        <v>36</v>
      </c>
      <c r="D677">
        <v>3.02</v>
      </c>
      <c r="E677">
        <v>180.55</v>
      </c>
      <c r="F677">
        <v>0.02</v>
      </c>
      <c r="G677">
        <v>0.01</v>
      </c>
      <c r="H677">
        <v>598</v>
      </c>
      <c r="I677">
        <v>36</v>
      </c>
    </row>
    <row r="678" spans="1:9" x14ac:dyDescent="0.3">
      <c r="A678" s="1">
        <v>45778</v>
      </c>
      <c r="B678" t="s">
        <v>108</v>
      </c>
      <c r="C678" t="s">
        <v>36</v>
      </c>
      <c r="D678">
        <v>2.99</v>
      </c>
      <c r="E678">
        <v>407.88</v>
      </c>
      <c r="F678">
        <v>0.02</v>
      </c>
      <c r="G678">
        <v>0.02</v>
      </c>
      <c r="H678">
        <v>1364</v>
      </c>
      <c r="I678">
        <v>37</v>
      </c>
    </row>
    <row r="679" spans="1:9" x14ac:dyDescent="0.3">
      <c r="A679" s="1">
        <v>45778</v>
      </c>
      <c r="B679" t="s">
        <v>81</v>
      </c>
      <c r="C679" t="s">
        <v>36</v>
      </c>
      <c r="D679">
        <v>2.58</v>
      </c>
      <c r="E679">
        <v>165.88</v>
      </c>
      <c r="F679">
        <v>0.01</v>
      </c>
      <c r="G679">
        <v>0.01</v>
      </c>
      <c r="H679">
        <v>643</v>
      </c>
      <c r="I679">
        <v>38</v>
      </c>
    </row>
    <row r="680" spans="1:9" x14ac:dyDescent="0.3">
      <c r="A680" s="1">
        <v>45778</v>
      </c>
      <c r="B680" t="s">
        <v>71</v>
      </c>
      <c r="C680" t="s">
        <v>36</v>
      </c>
      <c r="D680">
        <v>2.36</v>
      </c>
      <c r="E680">
        <v>308.47000000000003</v>
      </c>
      <c r="F680">
        <v>0.01</v>
      </c>
      <c r="G680">
        <v>0.01</v>
      </c>
      <c r="H680">
        <v>1307</v>
      </c>
      <c r="I680">
        <v>39</v>
      </c>
    </row>
    <row r="681" spans="1:9" x14ac:dyDescent="0.3">
      <c r="A681" s="1">
        <v>45778</v>
      </c>
      <c r="B681" t="s">
        <v>80</v>
      </c>
      <c r="C681" t="s">
        <v>36</v>
      </c>
      <c r="D681">
        <v>1.99</v>
      </c>
      <c r="E681">
        <v>258.89</v>
      </c>
      <c r="F681">
        <v>0.01</v>
      </c>
      <c r="G681">
        <v>0.01</v>
      </c>
      <c r="H681">
        <v>1301</v>
      </c>
      <c r="I681">
        <v>40</v>
      </c>
    </row>
    <row r="682" spans="1:9" x14ac:dyDescent="0.3">
      <c r="A682" s="1">
        <v>45778</v>
      </c>
      <c r="B682" t="s">
        <v>69</v>
      </c>
      <c r="C682" t="s">
        <v>36</v>
      </c>
      <c r="D682">
        <v>1.8</v>
      </c>
      <c r="E682">
        <v>528.32000000000005</v>
      </c>
      <c r="F682">
        <v>0.01</v>
      </c>
      <c r="G682">
        <v>0.02</v>
      </c>
      <c r="H682">
        <v>2935</v>
      </c>
      <c r="I682">
        <v>41</v>
      </c>
    </row>
    <row r="683" spans="1:9" x14ac:dyDescent="0.3">
      <c r="A683" s="1">
        <v>45778</v>
      </c>
      <c r="B683" t="s">
        <v>68</v>
      </c>
      <c r="C683" t="s">
        <v>36</v>
      </c>
      <c r="D683">
        <v>1.63</v>
      </c>
      <c r="E683">
        <v>92.27</v>
      </c>
      <c r="F683">
        <v>0.01</v>
      </c>
      <c r="G683">
        <v>0</v>
      </c>
      <c r="H683">
        <v>566</v>
      </c>
      <c r="I683">
        <v>42</v>
      </c>
    </row>
    <row r="684" spans="1:9" x14ac:dyDescent="0.3">
      <c r="A684" s="1">
        <v>45778</v>
      </c>
      <c r="B684" t="s">
        <v>70</v>
      </c>
      <c r="C684" t="s">
        <v>36</v>
      </c>
      <c r="D684">
        <v>1.56</v>
      </c>
      <c r="E684">
        <v>268.08999999999997</v>
      </c>
      <c r="F684">
        <v>0.01</v>
      </c>
      <c r="G684">
        <v>0.01</v>
      </c>
      <c r="H684">
        <v>1719</v>
      </c>
      <c r="I684">
        <v>43</v>
      </c>
    </row>
    <row r="685" spans="1:9" x14ac:dyDescent="0.3">
      <c r="A685" s="1">
        <v>45778</v>
      </c>
      <c r="B685" t="s">
        <v>115</v>
      </c>
      <c r="C685" t="s">
        <v>36</v>
      </c>
      <c r="D685">
        <v>1.3</v>
      </c>
      <c r="E685">
        <v>560.96</v>
      </c>
      <c r="F685">
        <v>0.01</v>
      </c>
      <c r="G685">
        <v>0.02</v>
      </c>
      <c r="H685">
        <v>4315</v>
      </c>
      <c r="I685">
        <v>44</v>
      </c>
    </row>
    <row r="686" spans="1:9" x14ac:dyDescent="0.3">
      <c r="A686" s="1">
        <v>45778</v>
      </c>
      <c r="B686" t="s">
        <v>83</v>
      </c>
      <c r="C686" t="s">
        <v>36</v>
      </c>
      <c r="D686">
        <v>1.25</v>
      </c>
      <c r="E686">
        <v>218.46</v>
      </c>
      <c r="F686">
        <v>0.01</v>
      </c>
      <c r="G686">
        <v>0.01</v>
      </c>
      <c r="H686">
        <v>1748</v>
      </c>
      <c r="I686">
        <v>45</v>
      </c>
    </row>
    <row r="687" spans="1:9" x14ac:dyDescent="0.3">
      <c r="A687" s="1">
        <v>45778</v>
      </c>
      <c r="B687" t="s">
        <v>75</v>
      </c>
      <c r="C687" t="s">
        <v>36</v>
      </c>
      <c r="D687">
        <v>1.06</v>
      </c>
      <c r="E687">
        <v>226.65</v>
      </c>
      <c r="F687">
        <v>0.01</v>
      </c>
      <c r="G687">
        <v>0.01</v>
      </c>
      <c r="H687">
        <v>2138</v>
      </c>
      <c r="I687">
        <v>46</v>
      </c>
    </row>
    <row r="688" spans="1:9" x14ac:dyDescent="0.3">
      <c r="A688" s="1">
        <v>45778</v>
      </c>
      <c r="B688" t="s">
        <v>76</v>
      </c>
      <c r="C688" t="s">
        <v>36</v>
      </c>
      <c r="D688">
        <v>1.03</v>
      </c>
      <c r="E688">
        <v>124.36</v>
      </c>
      <c r="F688">
        <v>0.01</v>
      </c>
      <c r="G688">
        <v>0</v>
      </c>
      <c r="H688">
        <v>1207</v>
      </c>
      <c r="I688">
        <v>47</v>
      </c>
    </row>
    <row r="689" spans="1:9" x14ac:dyDescent="0.3">
      <c r="A689" s="1">
        <v>45778</v>
      </c>
      <c r="B689" t="s">
        <v>79</v>
      </c>
      <c r="C689" t="s">
        <v>36</v>
      </c>
      <c r="D689">
        <v>0.87</v>
      </c>
      <c r="E689">
        <v>282.69</v>
      </c>
      <c r="F689">
        <v>0</v>
      </c>
      <c r="G689">
        <v>0.01</v>
      </c>
      <c r="H689">
        <v>3249</v>
      </c>
      <c r="I689">
        <v>48</v>
      </c>
    </row>
    <row r="690" spans="1:9" x14ac:dyDescent="0.3">
      <c r="A690" s="1">
        <v>45778</v>
      </c>
      <c r="B690" t="s">
        <v>64</v>
      </c>
      <c r="C690" t="s">
        <v>36</v>
      </c>
      <c r="D690">
        <v>0.8</v>
      </c>
      <c r="E690">
        <v>202.18</v>
      </c>
      <c r="F690">
        <v>0</v>
      </c>
      <c r="G690">
        <v>0.01</v>
      </c>
      <c r="H690">
        <v>2527</v>
      </c>
      <c r="I690">
        <v>49</v>
      </c>
    </row>
    <row r="691" spans="1:9" x14ac:dyDescent="0.3">
      <c r="A691" s="1">
        <v>45778</v>
      </c>
      <c r="B691" t="s">
        <v>100</v>
      </c>
      <c r="C691" t="s">
        <v>36</v>
      </c>
      <c r="D691">
        <v>0.8</v>
      </c>
      <c r="E691">
        <v>954.81</v>
      </c>
      <c r="F691">
        <v>0</v>
      </c>
      <c r="G691">
        <v>0.04</v>
      </c>
      <c r="H691">
        <v>11935</v>
      </c>
      <c r="I691">
        <v>49</v>
      </c>
    </row>
    <row r="692" spans="1:9" x14ac:dyDescent="0.3">
      <c r="A692" s="1">
        <v>45778</v>
      </c>
      <c r="B692" t="s">
        <v>98</v>
      </c>
      <c r="C692" t="s">
        <v>36</v>
      </c>
      <c r="D692">
        <v>0.74</v>
      </c>
      <c r="E692">
        <v>58.21</v>
      </c>
      <c r="F692">
        <v>0</v>
      </c>
      <c r="G692">
        <v>0</v>
      </c>
      <c r="H692">
        <v>787</v>
      </c>
      <c r="I692">
        <v>51</v>
      </c>
    </row>
    <row r="693" spans="1:9" x14ac:dyDescent="0.3">
      <c r="A693" s="1">
        <v>45778</v>
      </c>
      <c r="B693" t="s">
        <v>73</v>
      </c>
      <c r="C693" t="s">
        <v>36</v>
      </c>
      <c r="D693">
        <v>0.73</v>
      </c>
      <c r="E693">
        <v>241.85</v>
      </c>
      <c r="F693">
        <v>0</v>
      </c>
      <c r="G693">
        <v>0.01</v>
      </c>
      <c r="H693">
        <v>3313</v>
      </c>
      <c r="I693">
        <v>52</v>
      </c>
    </row>
    <row r="694" spans="1:9" x14ac:dyDescent="0.3">
      <c r="A694" s="1">
        <v>45778</v>
      </c>
      <c r="B694" t="s">
        <v>74</v>
      </c>
      <c r="C694" t="s">
        <v>36</v>
      </c>
      <c r="D694">
        <v>0.71</v>
      </c>
      <c r="E694">
        <v>211.09</v>
      </c>
      <c r="F694">
        <v>0</v>
      </c>
      <c r="G694">
        <v>0.01</v>
      </c>
      <c r="H694">
        <v>2973</v>
      </c>
      <c r="I694">
        <v>53</v>
      </c>
    </row>
    <row r="695" spans="1:9" x14ac:dyDescent="0.3">
      <c r="A695" s="1">
        <v>45778</v>
      </c>
      <c r="B695" t="s">
        <v>78</v>
      </c>
      <c r="C695" t="s">
        <v>36</v>
      </c>
      <c r="D695">
        <v>0.6</v>
      </c>
      <c r="E695">
        <v>184.67</v>
      </c>
      <c r="F695">
        <v>0</v>
      </c>
      <c r="G695">
        <v>0.01</v>
      </c>
      <c r="H695">
        <v>3078</v>
      </c>
      <c r="I695">
        <v>54</v>
      </c>
    </row>
    <row r="696" spans="1:9" x14ac:dyDescent="0.3">
      <c r="A696" s="1">
        <v>45778</v>
      </c>
      <c r="B696" t="s">
        <v>109</v>
      </c>
      <c r="C696" t="s">
        <v>36</v>
      </c>
      <c r="D696">
        <v>0.56999999999999995</v>
      </c>
      <c r="E696">
        <v>63.39</v>
      </c>
      <c r="F696">
        <v>0</v>
      </c>
      <c r="G696">
        <v>0</v>
      </c>
      <c r="H696">
        <v>1112</v>
      </c>
      <c r="I696">
        <v>55</v>
      </c>
    </row>
    <row r="697" spans="1:9" x14ac:dyDescent="0.3">
      <c r="A697" s="1">
        <v>45778</v>
      </c>
      <c r="B697" t="s">
        <v>77</v>
      </c>
      <c r="C697" t="s">
        <v>36</v>
      </c>
      <c r="D697">
        <v>0.54</v>
      </c>
      <c r="E697">
        <v>56.9</v>
      </c>
      <c r="F697">
        <v>0</v>
      </c>
      <c r="G697">
        <v>0</v>
      </c>
      <c r="H697">
        <v>1054</v>
      </c>
      <c r="I697">
        <v>56</v>
      </c>
    </row>
    <row r="698" spans="1:9" x14ac:dyDescent="0.3">
      <c r="A698" s="1">
        <v>45778</v>
      </c>
      <c r="B698" t="s">
        <v>72</v>
      </c>
      <c r="C698" t="s">
        <v>36</v>
      </c>
      <c r="D698">
        <v>0.49</v>
      </c>
      <c r="E698">
        <v>26.92</v>
      </c>
      <c r="F698">
        <v>0</v>
      </c>
      <c r="G698">
        <v>0</v>
      </c>
      <c r="H698">
        <v>549</v>
      </c>
      <c r="I698">
        <v>57</v>
      </c>
    </row>
    <row r="699" spans="1:9" x14ac:dyDescent="0.3">
      <c r="A699" s="1">
        <v>45778</v>
      </c>
      <c r="B699" t="s">
        <v>84</v>
      </c>
      <c r="C699" t="s">
        <v>36</v>
      </c>
      <c r="D699">
        <v>0.48</v>
      </c>
      <c r="E699">
        <v>122.06</v>
      </c>
      <c r="F699">
        <v>0</v>
      </c>
      <c r="G699">
        <v>0</v>
      </c>
      <c r="H699">
        <v>2543</v>
      </c>
      <c r="I699">
        <v>58</v>
      </c>
    </row>
    <row r="700" spans="1:9" x14ac:dyDescent="0.3">
      <c r="A700" s="1">
        <v>45778</v>
      </c>
      <c r="B700" t="s">
        <v>85</v>
      </c>
      <c r="C700" t="s">
        <v>36</v>
      </c>
      <c r="D700">
        <v>0.45</v>
      </c>
      <c r="E700">
        <v>132.55000000000001</v>
      </c>
      <c r="F700">
        <v>0</v>
      </c>
      <c r="G700">
        <v>0.01</v>
      </c>
      <c r="H700">
        <v>2946</v>
      </c>
      <c r="I700">
        <v>59</v>
      </c>
    </row>
    <row r="701" spans="1:9" x14ac:dyDescent="0.3">
      <c r="A701" s="1">
        <v>45778</v>
      </c>
      <c r="B701" t="s">
        <v>102</v>
      </c>
      <c r="C701" t="s">
        <v>36</v>
      </c>
      <c r="D701">
        <v>0.43</v>
      </c>
      <c r="E701">
        <v>20.47</v>
      </c>
      <c r="F701">
        <v>0</v>
      </c>
      <c r="G701">
        <v>0</v>
      </c>
      <c r="H701">
        <v>476</v>
      </c>
      <c r="I701">
        <v>60</v>
      </c>
    </row>
    <row r="702" spans="1:9" x14ac:dyDescent="0.3">
      <c r="A702" s="1">
        <v>45778</v>
      </c>
      <c r="B702" t="s">
        <v>112</v>
      </c>
      <c r="C702" t="s">
        <v>36</v>
      </c>
      <c r="D702">
        <v>0.32</v>
      </c>
      <c r="E702">
        <v>31.91</v>
      </c>
      <c r="F702">
        <v>0</v>
      </c>
      <c r="G702">
        <v>0</v>
      </c>
      <c r="H702">
        <v>997</v>
      </c>
      <c r="I702">
        <v>61</v>
      </c>
    </row>
    <row r="703" spans="1:9" x14ac:dyDescent="0.3">
      <c r="A703" s="1">
        <v>45778</v>
      </c>
      <c r="B703" t="s">
        <v>114</v>
      </c>
      <c r="C703" t="s">
        <v>36</v>
      </c>
      <c r="D703">
        <v>0.32</v>
      </c>
      <c r="E703">
        <v>35.29</v>
      </c>
      <c r="F703">
        <v>0</v>
      </c>
      <c r="G703">
        <v>0</v>
      </c>
      <c r="H703">
        <v>1103</v>
      </c>
      <c r="I703">
        <v>61</v>
      </c>
    </row>
    <row r="704" spans="1:9" x14ac:dyDescent="0.3">
      <c r="A704" s="1">
        <v>45778</v>
      </c>
      <c r="B704" t="s">
        <v>89</v>
      </c>
      <c r="C704" t="s">
        <v>36</v>
      </c>
      <c r="D704">
        <v>0.3</v>
      </c>
      <c r="E704">
        <v>91.04</v>
      </c>
      <c r="F704">
        <v>0</v>
      </c>
      <c r="G704">
        <v>0</v>
      </c>
      <c r="H704">
        <v>3035</v>
      </c>
      <c r="I704">
        <v>63</v>
      </c>
    </row>
    <row r="705" spans="1:9" x14ac:dyDescent="0.3">
      <c r="A705" s="1">
        <v>45778</v>
      </c>
      <c r="B705" t="s">
        <v>86</v>
      </c>
      <c r="C705" t="s">
        <v>36</v>
      </c>
      <c r="D705">
        <v>0.27</v>
      </c>
      <c r="E705">
        <v>64.81</v>
      </c>
      <c r="F705">
        <v>0</v>
      </c>
      <c r="G705">
        <v>0</v>
      </c>
      <c r="H705">
        <v>2400</v>
      </c>
      <c r="I705">
        <v>64</v>
      </c>
    </row>
    <row r="706" spans="1:9" x14ac:dyDescent="0.3">
      <c r="A706" s="1">
        <v>45778</v>
      </c>
      <c r="B706" t="s">
        <v>88</v>
      </c>
      <c r="C706" t="s">
        <v>36</v>
      </c>
      <c r="D706">
        <v>0.25</v>
      </c>
      <c r="E706">
        <v>59.72</v>
      </c>
      <c r="F706">
        <v>0</v>
      </c>
      <c r="G706">
        <v>0</v>
      </c>
      <c r="H706">
        <v>2389</v>
      </c>
      <c r="I706">
        <v>65</v>
      </c>
    </row>
    <row r="707" spans="1:9" x14ac:dyDescent="0.3">
      <c r="A707" s="1">
        <v>45778</v>
      </c>
      <c r="B707" t="s">
        <v>113</v>
      </c>
      <c r="C707" t="s">
        <v>36</v>
      </c>
      <c r="D707">
        <v>0.2</v>
      </c>
      <c r="E707">
        <v>14.26</v>
      </c>
      <c r="F707">
        <v>0</v>
      </c>
      <c r="G707">
        <v>0</v>
      </c>
      <c r="H707">
        <v>713</v>
      </c>
      <c r="I707">
        <v>66</v>
      </c>
    </row>
    <row r="708" spans="1:9" x14ac:dyDescent="0.3">
      <c r="A708" s="1">
        <v>45778</v>
      </c>
      <c r="B708" t="s">
        <v>90</v>
      </c>
      <c r="C708" t="s">
        <v>36</v>
      </c>
      <c r="D708">
        <v>0.17</v>
      </c>
      <c r="E708">
        <v>8.6300000000000008</v>
      </c>
      <c r="F708">
        <v>0</v>
      </c>
      <c r="G708">
        <v>0</v>
      </c>
      <c r="H708">
        <v>508</v>
      </c>
      <c r="I708">
        <v>67</v>
      </c>
    </row>
    <row r="709" spans="1:9" x14ac:dyDescent="0.3">
      <c r="A709" s="1">
        <v>45778</v>
      </c>
      <c r="B709" t="s">
        <v>94</v>
      </c>
      <c r="C709" t="s">
        <v>36</v>
      </c>
      <c r="D709">
        <v>0.17</v>
      </c>
      <c r="E709">
        <v>16.25</v>
      </c>
      <c r="F709">
        <v>0</v>
      </c>
      <c r="G709">
        <v>0</v>
      </c>
      <c r="H709">
        <v>956</v>
      </c>
      <c r="I709">
        <v>67</v>
      </c>
    </row>
    <row r="710" spans="1:9" x14ac:dyDescent="0.3">
      <c r="A710" s="1">
        <v>45778</v>
      </c>
      <c r="B710" t="s">
        <v>97</v>
      </c>
      <c r="C710" t="s">
        <v>36</v>
      </c>
      <c r="D710">
        <v>0.17</v>
      </c>
      <c r="E710">
        <v>19.16</v>
      </c>
      <c r="F710">
        <v>0</v>
      </c>
      <c r="G710">
        <v>0</v>
      </c>
      <c r="H710">
        <v>1127</v>
      </c>
      <c r="I710">
        <v>67</v>
      </c>
    </row>
    <row r="711" spans="1:9" x14ac:dyDescent="0.3">
      <c r="A711" s="1">
        <v>45778</v>
      </c>
      <c r="B711" t="s">
        <v>93</v>
      </c>
      <c r="C711" t="s">
        <v>36</v>
      </c>
      <c r="D711">
        <v>0.13</v>
      </c>
      <c r="E711">
        <v>49.81</v>
      </c>
      <c r="F711">
        <v>0</v>
      </c>
      <c r="G711">
        <v>0</v>
      </c>
      <c r="H711">
        <v>3832</v>
      </c>
      <c r="I711">
        <v>70</v>
      </c>
    </row>
    <row r="712" spans="1:9" x14ac:dyDescent="0.3">
      <c r="A712" s="1">
        <v>45778</v>
      </c>
      <c r="B712" t="s">
        <v>91</v>
      </c>
      <c r="C712" t="s">
        <v>36</v>
      </c>
      <c r="D712">
        <v>0.1</v>
      </c>
      <c r="E712">
        <v>7.77</v>
      </c>
      <c r="F712">
        <v>0</v>
      </c>
      <c r="G712">
        <v>0</v>
      </c>
      <c r="H712">
        <v>777</v>
      </c>
      <c r="I712">
        <v>71</v>
      </c>
    </row>
    <row r="713" spans="1:9" x14ac:dyDescent="0.3">
      <c r="A713" s="1">
        <v>45778</v>
      </c>
      <c r="B713" t="s">
        <v>99</v>
      </c>
      <c r="C713" t="s">
        <v>36</v>
      </c>
      <c r="D713">
        <v>0.1</v>
      </c>
      <c r="E713">
        <v>3.01</v>
      </c>
      <c r="F713">
        <v>0</v>
      </c>
      <c r="G713">
        <v>0</v>
      </c>
      <c r="H713">
        <v>301</v>
      </c>
      <c r="I713">
        <v>71</v>
      </c>
    </row>
    <row r="714" spans="1:9" x14ac:dyDescent="0.3">
      <c r="A714" s="1">
        <v>45778</v>
      </c>
      <c r="B714" t="s">
        <v>101</v>
      </c>
      <c r="C714" t="s">
        <v>36</v>
      </c>
      <c r="D714">
        <v>0.1</v>
      </c>
      <c r="E714">
        <v>35.020000000000003</v>
      </c>
      <c r="F714">
        <v>0</v>
      </c>
      <c r="G714">
        <v>0</v>
      </c>
      <c r="H714">
        <v>3502</v>
      </c>
      <c r="I714">
        <v>71</v>
      </c>
    </row>
    <row r="715" spans="1:9" x14ac:dyDescent="0.3">
      <c r="A715" s="1">
        <v>45778</v>
      </c>
      <c r="B715" t="s">
        <v>96</v>
      </c>
      <c r="C715" t="s">
        <v>36</v>
      </c>
      <c r="D715">
        <v>0.09</v>
      </c>
      <c r="E715">
        <v>32.950000000000003</v>
      </c>
      <c r="F715">
        <v>0</v>
      </c>
      <c r="G715">
        <v>0</v>
      </c>
      <c r="H715">
        <v>3661</v>
      </c>
      <c r="I715">
        <v>74</v>
      </c>
    </row>
    <row r="716" spans="1:9" x14ac:dyDescent="0.3">
      <c r="A716" s="1">
        <v>45778</v>
      </c>
      <c r="B716" t="s">
        <v>92</v>
      </c>
      <c r="C716" t="s">
        <v>36</v>
      </c>
      <c r="D716">
        <v>7.0000000000000007E-2</v>
      </c>
      <c r="E716">
        <v>25.75</v>
      </c>
      <c r="F716">
        <v>0</v>
      </c>
      <c r="G716">
        <v>0</v>
      </c>
      <c r="H716">
        <v>3679</v>
      </c>
      <c r="I716">
        <v>75</v>
      </c>
    </row>
    <row r="717" spans="1:9" x14ac:dyDescent="0.3">
      <c r="A717" s="1">
        <v>45778</v>
      </c>
      <c r="B717" t="s">
        <v>95</v>
      </c>
      <c r="C717" t="s">
        <v>36</v>
      </c>
      <c r="D717">
        <v>7.0000000000000007E-2</v>
      </c>
      <c r="E717">
        <v>29.97</v>
      </c>
      <c r="F717">
        <v>0</v>
      </c>
      <c r="G717">
        <v>0</v>
      </c>
      <c r="H717">
        <v>4281</v>
      </c>
      <c r="I717">
        <v>75</v>
      </c>
    </row>
    <row r="718" spans="1:9" x14ac:dyDescent="0.3">
      <c r="A718" s="1">
        <v>45778</v>
      </c>
      <c r="B718" t="s">
        <v>117</v>
      </c>
      <c r="C718" t="s">
        <v>36</v>
      </c>
      <c r="D718">
        <v>0.06</v>
      </c>
      <c r="E718">
        <v>8.77</v>
      </c>
      <c r="F718">
        <v>0</v>
      </c>
      <c r="G718">
        <v>0</v>
      </c>
      <c r="H718">
        <v>1462</v>
      </c>
      <c r="I718">
        <v>77</v>
      </c>
    </row>
    <row r="719" spans="1:9" x14ac:dyDescent="0.3">
      <c r="A719" s="1">
        <v>45778</v>
      </c>
      <c r="B719" t="s">
        <v>118</v>
      </c>
      <c r="C719" t="s">
        <v>36</v>
      </c>
      <c r="D719">
        <v>0.06</v>
      </c>
      <c r="E719">
        <v>12.79</v>
      </c>
      <c r="F719">
        <v>0</v>
      </c>
      <c r="G719">
        <v>0</v>
      </c>
      <c r="H719">
        <v>2132</v>
      </c>
      <c r="I719">
        <v>77</v>
      </c>
    </row>
    <row r="720" spans="1:9" x14ac:dyDescent="0.3">
      <c r="A720" s="1">
        <v>45778</v>
      </c>
      <c r="B720" t="s">
        <v>103</v>
      </c>
      <c r="C720" t="s">
        <v>36</v>
      </c>
      <c r="D720">
        <v>0.04</v>
      </c>
      <c r="E720">
        <v>2.27</v>
      </c>
      <c r="F720">
        <v>0</v>
      </c>
      <c r="G720">
        <v>0</v>
      </c>
      <c r="H720">
        <v>568</v>
      </c>
      <c r="I720">
        <v>79</v>
      </c>
    </row>
    <row r="721" spans="1:9" x14ac:dyDescent="0.3">
      <c r="A721" s="1">
        <v>45778</v>
      </c>
      <c r="B721" t="s">
        <v>119</v>
      </c>
      <c r="C721" t="s">
        <v>36</v>
      </c>
      <c r="D721">
        <v>0.03</v>
      </c>
      <c r="E721">
        <v>2.21</v>
      </c>
      <c r="F721">
        <v>0</v>
      </c>
      <c r="G721">
        <v>0</v>
      </c>
      <c r="H721">
        <v>737</v>
      </c>
      <c r="I721">
        <v>80</v>
      </c>
    </row>
    <row r="722" spans="1:9" x14ac:dyDescent="0.3">
      <c r="A722" s="1">
        <v>45778</v>
      </c>
      <c r="B722" t="s">
        <v>104</v>
      </c>
      <c r="C722" t="s">
        <v>36</v>
      </c>
      <c r="D722">
        <v>0.02</v>
      </c>
      <c r="E722">
        <v>8.8699999999999992</v>
      </c>
      <c r="F722">
        <v>0</v>
      </c>
      <c r="G722">
        <v>0</v>
      </c>
      <c r="H722">
        <v>4435</v>
      </c>
      <c r="I722">
        <v>81</v>
      </c>
    </row>
    <row r="723" spans="1:9" x14ac:dyDescent="0.3">
      <c r="A723" s="1">
        <v>45778</v>
      </c>
      <c r="B723" t="s">
        <v>116</v>
      </c>
      <c r="C723" t="s">
        <v>36</v>
      </c>
      <c r="D723">
        <v>0.02</v>
      </c>
      <c r="E723">
        <v>7.44</v>
      </c>
      <c r="F723">
        <v>0</v>
      </c>
      <c r="G723">
        <v>0</v>
      </c>
      <c r="H723">
        <v>3720</v>
      </c>
      <c r="I723">
        <v>81</v>
      </c>
    </row>
    <row r="724" spans="1:9" x14ac:dyDescent="0.3">
      <c r="A724" s="1">
        <v>45809</v>
      </c>
      <c r="B724" t="s">
        <v>32</v>
      </c>
      <c r="C724" t="s">
        <v>32</v>
      </c>
      <c r="D724">
        <v>8547.0400000000009</v>
      </c>
      <c r="E724">
        <v>1198690.03</v>
      </c>
      <c r="F724">
        <v>46.46</v>
      </c>
      <c r="G724">
        <v>49.86</v>
      </c>
      <c r="H724">
        <v>1402</v>
      </c>
      <c r="I724">
        <v>1</v>
      </c>
    </row>
    <row r="725" spans="1:9" x14ac:dyDescent="0.3">
      <c r="A725" s="1">
        <v>45809</v>
      </c>
      <c r="B725" t="s">
        <v>33</v>
      </c>
      <c r="C725" t="s">
        <v>33</v>
      </c>
      <c r="D725">
        <v>6540.92</v>
      </c>
      <c r="E725">
        <v>840931.06</v>
      </c>
      <c r="F725">
        <v>35.56</v>
      </c>
      <c r="G725">
        <v>34.979999999999997</v>
      </c>
      <c r="H725">
        <v>1286</v>
      </c>
      <c r="I725">
        <v>2</v>
      </c>
    </row>
    <row r="726" spans="1:9" x14ac:dyDescent="0.3">
      <c r="A726" s="1">
        <v>45809</v>
      </c>
      <c r="B726" t="s">
        <v>34</v>
      </c>
      <c r="C726" t="s">
        <v>34</v>
      </c>
      <c r="D726">
        <v>1269.1600000000001</v>
      </c>
      <c r="E726">
        <v>134171.16</v>
      </c>
      <c r="F726">
        <v>6.9</v>
      </c>
      <c r="G726">
        <v>5.58</v>
      </c>
      <c r="H726">
        <v>1057</v>
      </c>
      <c r="I726">
        <v>3</v>
      </c>
    </row>
    <row r="727" spans="1:9" x14ac:dyDescent="0.3">
      <c r="A727" s="1">
        <v>45809</v>
      </c>
      <c r="B727" t="s">
        <v>37</v>
      </c>
      <c r="C727" t="s">
        <v>36</v>
      </c>
      <c r="D727">
        <v>406.01</v>
      </c>
      <c r="E727">
        <v>21814.51</v>
      </c>
      <c r="F727">
        <v>2.21</v>
      </c>
      <c r="G727">
        <v>0.91</v>
      </c>
      <c r="H727">
        <v>537</v>
      </c>
      <c r="I727">
        <v>4</v>
      </c>
    </row>
    <row r="728" spans="1:9" x14ac:dyDescent="0.3">
      <c r="A728" s="1">
        <v>45809</v>
      </c>
      <c r="B728" t="s">
        <v>47</v>
      </c>
      <c r="C728" t="s">
        <v>36</v>
      </c>
      <c r="D728">
        <v>218.96</v>
      </c>
      <c r="E728">
        <v>7716.48</v>
      </c>
      <c r="F728">
        <v>1.19</v>
      </c>
      <c r="G728">
        <v>0.32</v>
      </c>
      <c r="H728">
        <v>352</v>
      </c>
      <c r="I728">
        <v>5</v>
      </c>
    </row>
    <row r="729" spans="1:9" x14ac:dyDescent="0.3">
      <c r="A729" s="1">
        <v>45809</v>
      </c>
      <c r="B729" t="s">
        <v>35</v>
      </c>
      <c r="C729" t="s">
        <v>36</v>
      </c>
      <c r="D729">
        <v>138.32</v>
      </c>
      <c r="E729">
        <v>51384.11</v>
      </c>
      <c r="F729">
        <v>0.75</v>
      </c>
      <c r="G729">
        <v>2.14</v>
      </c>
      <c r="H729">
        <v>3715</v>
      </c>
      <c r="I729">
        <v>6</v>
      </c>
    </row>
    <row r="730" spans="1:9" x14ac:dyDescent="0.3">
      <c r="A730" s="1">
        <v>45809</v>
      </c>
      <c r="B730" t="s">
        <v>38</v>
      </c>
      <c r="C730" t="s">
        <v>36</v>
      </c>
      <c r="D730">
        <v>126.27</v>
      </c>
      <c r="E730">
        <v>9388.51</v>
      </c>
      <c r="F730">
        <v>0.69</v>
      </c>
      <c r="G730">
        <v>0.39</v>
      </c>
      <c r="H730">
        <v>744</v>
      </c>
      <c r="I730">
        <v>7</v>
      </c>
    </row>
    <row r="731" spans="1:9" x14ac:dyDescent="0.3">
      <c r="A731" s="1">
        <v>45809</v>
      </c>
      <c r="B731" t="s">
        <v>40</v>
      </c>
      <c r="C731" t="s">
        <v>36</v>
      </c>
      <c r="D731">
        <v>112.75</v>
      </c>
      <c r="E731">
        <v>1439.64</v>
      </c>
      <c r="F731">
        <v>0.61</v>
      </c>
      <c r="G731">
        <v>0.06</v>
      </c>
      <c r="H731">
        <v>128</v>
      </c>
      <c r="I731">
        <v>8</v>
      </c>
    </row>
    <row r="732" spans="1:9" x14ac:dyDescent="0.3">
      <c r="A732" s="1">
        <v>45809</v>
      </c>
      <c r="B732" t="s">
        <v>39</v>
      </c>
      <c r="C732" t="s">
        <v>36</v>
      </c>
      <c r="D732">
        <v>93.25</v>
      </c>
      <c r="E732">
        <v>9942.48</v>
      </c>
      <c r="F732">
        <v>0.51</v>
      </c>
      <c r="G732">
        <v>0.41</v>
      </c>
      <c r="H732">
        <v>1066</v>
      </c>
      <c r="I732">
        <v>9</v>
      </c>
    </row>
    <row r="733" spans="1:9" x14ac:dyDescent="0.3">
      <c r="A733" s="1">
        <v>45809</v>
      </c>
      <c r="B733" t="s">
        <v>46</v>
      </c>
      <c r="C733" t="s">
        <v>36</v>
      </c>
      <c r="D733">
        <v>73.069999999999993</v>
      </c>
      <c r="E733">
        <v>11725.85</v>
      </c>
      <c r="F733">
        <v>0.4</v>
      </c>
      <c r="G733">
        <v>0.49</v>
      </c>
      <c r="H733">
        <v>1605</v>
      </c>
      <c r="I733">
        <v>10</v>
      </c>
    </row>
    <row r="734" spans="1:9" x14ac:dyDescent="0.3">
      <c r="A734" s="1">
        <v>45809</v>
      </c>
      <c r="B734" t="s">
        <v>42</v>
      </c>
      <c r="C734" t="s">
        <v>36</v>
      </c>
      <c r="D734">
        <v>67.48</v>
      </c>
      <c r="E734">
        <v>4989.34</v>
      </c>
      <c r="F734">
        <v>0.37</v>
      </c>
      <c r="G734">
        <v>0.21</v>
      </c>
      <c r="H734">
        <v>739</v>
      </c>
      <c r="I734">
        <v>11</v>
      </c>
    </row>
    <row r="735" spans="1:9" x14ac:dyDescent="0.3">
      <c r="A735" s="1">
        <v>45809</v>
      </c>
      <c r="B735" t="s">
        <v>44</v>
      </c>
      <c r="C735" t="s">
        <v>36</v>
      </c>
      <c r="D735">
        <v>67.459999999999994</v>
      </c>
      <c r="E735">
        <v>14297.8</v>
      </c>
      <c r="F735">
        <v>0.37</v>
      </c>
      <c r="G735">
        <v>0.59</v>
      </c>
      <c r="H735">
        <v>2119</v>
      </c>
      <c r="I735">
        <v>12</v>
      </c>
    </row>
    <row r="736" spans="1:9" x14ac:dyDescent="0.3">
      <c r="A736" s="1">
        <v>45809</v>
      </c>
      <c r="B736" t="s">
        <v>41</v>
      </c>
      <c r="C736" t="s">
        <v>36</v>
      </c>
      <c r="D736">
        <v>61.82</v>
      </c>
      <c r="E736">
        <v>15983.92</v>
      </c>
      <c r="F736">
        <v>0.34</v>
      </c>
      <c r="G736">
        <v>0.66</v>
      </c>
      <c r="H736">
        <v>2586</v>
      </c>
      <c r="I736">
        <v>13</v>
      </c>
    </row>
    <row r="737" spans="1:9" x14ac:dyDescent="0.3">
      <c r="A737" s="1">
        <v>45809</v>
      </c>
      <c r="B737" t="s">
        <v>43</v>
      </c>
      <c r="C737" t="s">
        <v>36</v>
      </c>
      <c r="D737">
        <v>60.36</v>
      </c>
      <c r="E737">
        <v>7735.27</v>
      </c>
      <c r="F737">
        <v>0.33</v>
      </c>
      <c r="G737">
        <v>0.32</v>
      </c>
      <c r="H737">
        <v>1282</v>
      </c>
      <c r="I737">
        <v>14</v>
      </c>
    </row>
    <row r="738" spans="1:9" x14ac:dyDescent="0.3">
      <c r="A738" s="1">
        <v>45809</v>
      </c>
      <c r="B738" t="s">
        <v>45</v>
      </c>
      <c r="C738" t="s">
        <v>36</v>
      </c>
      <c r="D738">
        <v>52.55</v>
      </c>
      <c r="E738">
        <v>8917.32</v>
      </c>
      <c r="F738">
        <v>0.28999999999999998</v>
      </c>
      <c r="G738">
        <v>0.37</v>
      </c>
      <c r="H738">
        <v>1697</v>
      </c>
      <c r="I738">
        <v>15</v>
      </c>
    </row>
    <row r="739" spans="1:9" x14ac:dyDescent="0.3">
      <c r="A739" s="1">
        <v>45809</v>
      </c>
      <c r="B739" t="s">
        <v>49</v>
      </c>
      <c r="C739" t="s">
        <v>36</v>
      </c>
      <c r="D739">
        <v>34.43</v>
      </c>
      <c r="E739">
        <v>4600.71</v>
      </c>
      <c r="F739">
        <v>0.19</v>
      </c>
      <c r="G739">
        <v>0.19</v>
      </c>
      <c r="H739">
        <v>1336</v>
      </c>
      <c r="I739">
        <v>16</v>
      </c>
    </row>
    <row r="740" spans="1:9" x14ac:dyDescent="0.3">
      <c r="A740" s="1">
        <v>45809</v>
      </c>
      <c r="B740" t="s">
        <v>65</v>
      </c>
      <c r="C740" t="s">
        <v>36</v>
      </c>
      <c r="D740">
        <v>32.33</v>
      </c>
      <c r="E740">
        <v>834.39</v>
      </c>
      <c r="F740">
        <v>0.18</v>
      </c>
      <c r="G740">
        <v>0.03</v>
      </c>
      <c r="H740">
        <v>258</v>
      </c>
      <c r="I740">
        <v>17</v>
      </c>
    </row>
    <row r="741" spans="1:9" x14ac:dyDescent="0.3">
      <c r="A741" s="1">
        <v>45809</v>
      </c>
      <c r="B741" t="s">
        <v>48</v>
      </c>
      <c r="C741" t="s">
        <v>36</v>
      </c>
      <c r="D741">
        <v>19.739999999999998</v>
      </c>
      <c r="E741">
        <v>1368.2</v>
      </c>
      <c r="F741">
        <v>0.11</v>
      </c>
      <c r="G741">
        <v>0.06</v>
      </c>
      <c r="H741">
        <v>693</v>
      </c>
      <c r="I741">
        <v>18</v>
      </c>
    </row>
    <row r="742" spans="1:9" x14ac:dyDescent="0.3">
      <c r="A742" s="1">
        <v>45809</v>
      </c>
      <c r="B742" t="s">
        <v>53</v>
      </c>
      <c r="C742" t="s">
        <v>36</v>
      </c>
      <c r="D742">
        <v>17.760000000000002</v>
      </c>
      <c r="E742">
        <v>2317.46</v>
      </c>
      <c r="F742">
        <v>0.1</v>
      </c>
      <c r="G742">
        <v>0.1</v>
      </c>
      <c r="H742">
        <v>1305</v>
      </c>
      <c r="I742">
        <v>19</v>
      </c>
    </row>
    <row r="743" spans="1:9" x14ac:dyDescent="0.3">
      <c r="A743" s="1">
        <v>45809</v>
      </c>
      <c r="B743" t="s">
        <v>55</v>
      </c>
      <c r="C743" t="s">
        <v>36</v>
      </c>
      <c r="D743">
        <v>17.440000000000001</v>
      </c>
      <c r="E743">
        <v>2481.31</v>
      </c>
      <c r="F743">
        <v>0.09</v>
      </c>
      <c r="G743">
        <v>0.1</v>
      </c>
      <c r="H743">
        <v>1423</v>
      </c>
      <c r="I743">
        <v>20</v>
      </c>
    </row>
    <row r="744" spans="1:9" x14ac:dyDescent="0.3">
      <c r="A744" s="1">
        <v>45809</v>
      </c>
      <c r="B744" t="s">
        <v>57</v>
      </c>
      <c r="C744" t="s">
        <v>36</v>
      </c>
      <c r="D744">
        <v>16.649999999999999</v>
      </c>
      <c r="E744">
        <v>1730.46</v>
      </c>
      <c r="F744">
        <v>0.09</v>
      </c>
      <c r="G744">
        <v>7.0000000000000007E-2</v>
      </c>
      <c r="H744">
        <v>1039</v>
      </c>
      <c r="I744">
        <v>21</v>
      </c>
    </row>
    <row r="745" spans="1:9" x14ac:dyDescent="0.3">
      <c r="A745" s="1">
        <v>45809</v>
      </c>
      <c r="B745" t="s">
        <v>54</v>
      </c>
      <c r="C745" t="s">
        <v>36</v>
      </c>
      <c r="D745">
        <v>13.35</v>
      </c>
      <c r="E745">
        <v>3591.53</v>
      </c>
      <c r="F745">
        <v>7.0000000000000007E-2</v>
      </c>
      <c r="G745">
        <v>0.15</v>
      </c>
      <c r="H745">
        <v>2690</v>
      </c>
      <c r="I745">
        <v>22</v>
      </c>
    </row>
    <row r="746" spans="1:9" x14ac:dyDescent="0.3">
      <c r="A746" s="1">
        <v>45809</v>
      </c>
      <c r="B746" t="s">
        <v>50</v>
      </c>
      <c r="C746" t="s">
        <v>36</v>
      </c>
      <c r="D746">
        <v>12.46</v>
      </c>
      <c r="E746">
        <v>8801.5499999999993</v>
      </c>
      <c r="F746">
        <v>7.0000000000000007E-2</v>
      </c>
      <c r="G746">
        <v>0.37</v>
      </c>
      <c r="H746">
        <v>7064</v>
      </c>
      <c r="I746">
        <v>23</v>
      </c>
    </row>
    <row r="747" spans="1:9" x14ac:dyDescent="0.3">
      <c r="A747" s="1">
        <v>45809</v>
      </c>
      <c r="B747" t="s">
        <v>52</v>
      </c>
      <c r="C747" t="s">
        <v>36</v>
      </c>
      <c r="D747">
        <v>11.4</v>
      </c>
      <c r="E747">
        <v>2351.65</v>
      </c>
      <c r="F747">
        <v>0.06</v>
      </c>
      <c r="G747">
        <v>0.1</v>
      </c>
      <c r="H747">
        <v>2063</v>
      </c>
      <c r="I747">
        <v>24</v>
      </c>
    </row>
    <row r="748" spans="1:9" x14ac:dyDescent="0.3">
      <c r="A748" s="1">
        <v>45809</v>
      </c>
      <c r="B748" t="s">
        <v>67</v>
      </c>
      <c r="C748" t="s">
        <v>36</v>
      </c>
      <c r="D748">
        <v>10.7</v>
      </c>
      <c r="E748">
        <v>1587.67</v>
      </c>
      <c r="F748">
        <v>0.06</v>
      </c>
      <c r="G748">
        <v>7.0000000000000007E-2</v>
      </c>
      <c r="H748">
        <v>1484</v>
      </c>
      <c r="I748">
        <v>25</v>
      </c>
    </row>
    <row r="749" spans="1:9" x14ac:dyDescent="0.3">
      <c r="A749" s="1">
        <v>45809</v>
      </c>
      <c r="B749" t="s">
        <v>56</v>
      </c>
      <c r="C749" t="s">
        <v>36</v>
      </c>
      <c r="D749">
        <v>8.81</v>
      </c>
      <c r="E749">
        <v>624.29</v>
      </c>
      <c r="F749">
        <v>0.05</v>
      </c>
      <c r="G749">
        <v>0.03</v>
      </c>
      <c r="H749">
        <v>709</v>
      </c>
      <c r="I749">
        <v>26</v>
      </c>
    </row>
    <row r="750" spans="1:9" x14ac:dyDescent="0.3">
      <c r="A750" s="1">
        <v>45809</v>
      </c>
      <c r="B750" t="s">
        <v>59</v>
      </c>
      <c r="C750" t="s">
        <v>36</v>
      </c>
      <c r="D750">
        <v>5.99</v>
      </c>
      <c r="E750">
        <v>905.62</v>
      </c>
      <c r="F750">
        <v>0.03</v>
      </c>
      <c r="G750">
        <v>0.04</v>
      </c>
      <c r="H750">
        <v>1512</v>
      </c>
      <c r="I750">
        <v>27</v>
      </c>
    </row>
    <row r="751" spans="1:9" x14ac:dyDescent="0.3">
      <c r="A751" s="1">
        <v>45809</v>
      </c>
      <c r="B751" t="s">
        <v>58</v>
      </c>
      <c r="C751" t="s">
        <v>36</v>
      </c>
      <c r="D751">
        <v>5.22</v>
      </c>
      <c r="E751">
        <v>1006.22</v>
      </c>
      <c r="F751">
        <v>0.03</v>
      </c>
      <c r="G751">
        <v>0.04</v>
      </c>
      <c r="H751">
        <v>1928</v>
      </c>
      <c r="I751">
        <v>28</v>
      </c>
    </row>
    <row r="752" spans="1:9" x14ac:dyDescent="0.3">
      <c r="A752" s="1">
        <v>45809</v>
      </c>
      <c r="B752" t="s">
        <v>62</v>
      </c>
      <c r="C752" t="s">
        <v>36</v>
      </c>
      <c r="D752">
        <v>4.26</v>
      </c>
      <c r="E752">
        <v>308.69</v>
      </c>
      <c r="F752">
        <v>0.02</v>
      </c>
      <c r="G752">
        <v>0.01</v>
      </c>
      <c r="H752">
        <v>725</v>
      </c>
      <c r="I752">
        <v>29</v>
      </c>
    </row>
    <row r="753" spans="1:9" x14ac:dyDescent="0.3">
      <c r="A753" s="1">
        <v>45809</v>
      </c>
      <c r="B753" t="s">
        <v>60</v>
      </c>
      <c r="C753" t="s">
        <v>36</v>
      </c>
      <c r="D753">
        <v>4.0199999999999996</v>
      </c>
      <c r="E753">
        <v>723.95</v>
      </c>
      <c r="F753">
        <v>0.02</v>
      </c>
      <c r="G753">
        <v>0.03</v>
      </c>
      <c r="H753">
        <v>1801</v>
      </c>
      <c r="I753">
        <v>30</v>
      </c>
    </row>
    <row r="754" spans="1:9" x14ac:dyDescent="0.3">
      <c r="A754" s="1">
        <v>45809</v>
      </c>
      <c r="B754" t="s">
        <v>66</v>
      </c>
      <c r="C754" t="s">
        <v>36</v>
      </c>
      <c r="D754">
        <v>3.96</v>
      </c>
      <c r="E754">
        <v>50.49</v>
      </c>
      <c r="F754">
        <v>0.02</v>
      </c>
      <c r="G754">
        <v>0</v>
      </c>
      <c r="H754">
        <v>128</v>
      </c>
      <c r="I754">
        <v>31</v>
      </c>
    </row>
    <row r="755" spans="1:9" x14ac:dyDescent="0.3">
      <c r="A755" s="1">
        <v>45809</v>
      </c>
      <c r="B755" t="s">
        <v>61</v>
      </c>
      <c r="C755" t="s">
        <v>36</v>
      </c>
      <c r="D755">
        <v>3.49</v>
      </c>
      <c r="E755">
        <v>911.93</v>
      </c>
      <c r="F755">
        <v>0.02</v>
      </c>
      <c r="G755">
        <v>0.04</v>
      </c>
      <c r="H755">
        <v>2613</v>
      </c>
      <c r="I755">
        <v>32</v>
      </c>
    </row>
    <row r="756" spans="1:9" x14ac:dyDescent="0.3">
      <c r="A756" s="1">
        <v>45809</v>
      </c>
      <c r="B756" t="s">
        <v>63</v>
      </c>
      <c r="C756" t="s">
        <v>36</v>
      </c>
      <c r="D756">
        <v>3.46</v>
      </c>
      <c r="E756">
        <v>917.08</v>
      </c>
      <c r="F756">
        <v>0.02</v>
      </c>
      <c r="G756">
        <v>0.04</v>
      </c>
      <c r="H756">
        <v>2651</v>
      </c>
      <c r="I756">
        <v>33</v>
      </c>
    </row>
    <row r="757" spans="1:9" x14ac:dyDescent="0.3">
      <c r="A757" s="1">
        <v>45809</v>
      </c>
      <c r="B757" t="s">
        <v>82</v>
      </c>
      <c r="C757" t="s">
        <v>36</v>
      </c>
      <c r="D757">
        <v>3.43</v>
      </c>
      <c r="E757">
        <v>385.72</v>
      </c>
      <c r="F757">
        <v>0.02</v>
      </c>
      <c r="G757">
        <v>0.02</v>
      </c>
      <c r="H757">
        <v>1125</v>
      </c>
      <c r="I757">
        <v>34</v>
      </c>
    </row>
    <row r="758" spans="1:9" x14ac:dyDescent="0.3">
      <c r="A758" s="1">
        <v>45809</v>
      </c>
      <c r="B758" t="s">
        <v>108</v>
      </c>
      <c r="C758" t="s">
        <v>36</v>
      </c>
      <c r="D758">
        <v>2.75</v>
      </c>
      <c r="E758">
        <v>375.21</v>
      </c>
      <c r="F758">
        <v>0.01</v>
      </c>
      <c r="G758">
        <v>0.02</v>
      </c>
      <c r="H758">
        <v>1364</v>
      </c>
      <c r="I758">
        <v>35</v>
      </c>
    </row>
    <row r="759" spans="1:9" x14ac:dyDescent="0.3">
      <c r="A759" s="1">
        <v>45809</v>
      </c>
      <c r="B759" t="s">
        <v>51</v>
      </c>
      <c r="C759" t="s">
        <v>36</v>
      </c>
      <c r="D759">
        <v>2.52</v>
      </c>
      <c r="E759">
        <v>144.63999999999999</v>
      </c>
      <c r="F759">
        <v>0.01</v>
      </c>
      <c r="G759">
        <v>0.01</v>
      </c>
      <c r="H759">
        <v>574</v>
      </c>
      <c r="I759">
        <v>36</v>
      </c>
    </row>
    <row r="760" spans="1:9" x14ac:dyDescent="0.3">
      <c r="A760" s="1">
        <v>45809</v>
      </c>
      <c r="B760" t="s">
        <v>71</v>
      </c>
      <c r="C760" t="s">
        <v>36</v>
      </c>
      <c r="D760">
        <v>2.41</v>
      </c>
      <c r="E760">
        <v>316.86</v>
      </c>
      <c r="F760">
        <v>0.01</v>
      </c>
      <c r="G760">
        <v>0.01</v>
      </c>
      <c r="H760">
        <v>1315</v>
      </c>
      <c r="I760">
        <v>37</v>
      </c>
    </row>
    <row r="761" spans="1:9" x14ac:dyDescent="0.3">
      <c r="A761" s="1">
        <v>45809</v>
      </c>
      <c r="B761" t="s">
        <v>81</v>
      </c>
      <c r="C761" t="s">
        <v>36</v>
      </c>
      <c r="D761">
        <v>2.16</v>
      </c>
      <c r="E761">
        <v>144.63999999999999</v>
      </c>
      <c r="F761">
        <v>0.01</v>
      </c>
      <c r="G761">
        <v>0.01</v>
      </c>
      <c r="H761">
        <v>670</v>
      </c>
      <c r="I761">
        <v>38</v>
      </c>
    </row>
    <row r="762" spans="1:9" x14ac:dyDescent="0.3">
      <c r="A762" s="1">
        <v>45809</v>
      </c>
      <c r="B762" t="s">
        <v>69</v>
      </c>
      <c r="C762" t="s">
        <v>36</v>
      </c>
      <c r="D762">
        <v>1.77</v>
      </c>
      <c r="E762">
        <v>497.24</v>
      </c>
      <c r="F762">
        <v>0.01</v>
      </c>
      <c r="G762">
        <v>0.02</v>
      </c>
      <c r="H762">
        <v>2809</v>
      </c>
      <c r="I762">
        <v>39</v>
      </c>
    </row>
    <row r="763" spans="1:9" x14ac:dyDescent="0.3">
      <c r="A763" s="1">
        <v>45809</v>
      </c>
      <c r="B763" t="s">
        <v>87</v>
      </c>
      <c r="C763" t="s">
        <v>36</v>
      </c>
      <c r="D763">
        <v>1.74</v>
      </c>
      <c r="E763">
        <v>165.08</v>
      </c>
      <c r="F763">
        <v>0.01</v>
      </c>
      <c r="G763">
        <v>0.01</v>
      </c>
      <c r="H763">
        <v>949</v>
      </c>
      <c r="I763">
        <v>40</v>
      </c>
    </row>
    <row r="764" spans="1:9" x14ac:dyDescent="0.3">
      <c r="A764" s="1">
        <v>45809</v>
      </c>
      <c r="B764" t="s">
        <v>68</v>
      </c>
      <c r="C764" t="s">
        <v>36</v>
      </c>
      <c r="D764">
        <v>1.62</v>
      </c>
      <c r="E764">
        <v>93.83</v>
      </c>
      <c r="F764">
        <v>0.01</v>
      </c>
      <c r="G764">
        <v>0</v>
      </c>
      <c r="H764">
        <v>579</v>
      </c>
      <c r="I764">
        <v>41</v>
      </c>
    </row>
    <row r="765" spans="1:9" x14ac:dyDescent="0.3">
      <c r="A765" s="1">
        <v>45809</v>
      </c>
      <c r="B765" t="s">
        <v>115</v>
      </c>
      <c r="C765" t="s">
        <v>36</v>
      </c>
      <c r="D765">
        <v>1.41</v>
      </c>
      <c r="E765">
        <v>558.23</v>
      </c>
      <c r="F765">
        <v>0.01</v>
      </c>
      <c r="G765">
        <v>0.02</v>
      </c>
      <c r="H765">
        <v>3959</v>
      </c>
      <c r="I765">
        <v>42</v>
      </c>
    </row>
    <row r="766" spans="1:9" x14ac:dyDescent="0.3">
      <c r="A766" s="1">
        <v>45809</v>
      </c>
      <c r="B766" t="s">
        <v>80</v>
      </c>
      <c r="C766" t="s">
        <v>36</v>
      </c>
      <c r="D766">
        <v>1.31</v>
      </c>
      <c r="E766">
        <v>173.24</v>
      </c>
      <c r="F766">
        <v>0.01</v>
      </c>
      <c r="G766">
        <v>0.01</v>
      </c>
      <c r="H766">
        <v>1322</v>
      </c>
      <c r="I766">
        <v>43</v>
      </c>
    </row>
    <row r="767" spans="1:9" x14ac:dyDescent="0.3">
      <c r="A767" s="1">
        <v>45809</v>
      </c>
      <c r="B767" t="s">
        <v>94</v>
      </c>
      <c r="C767" t="s">
        <v>36</v>
      </c>
      <c r="D767">
        <v>1.19</v>
      </c>
      <c r="E767">
        <v>48.41</v>
      </c>
      <c r="F767">
        <v>0.01</v>
      </c>
      <c r="G767">
        <v>0</v>
      </c>
      <c r="H767">
        <v>407</v>
      </c>
      <c r="I767">
        <v>44</v>
      </c>
    </row>
    <row r="768" spans="1:9" x14ac:dyDescent="0.3">
      <c r="A768" s="1">
        <v>45809</v>
      </c>
      <c r="B768" t="s">
        <v>76</v>
      </c>
      <c r="C768" t="s">
        <v>36</v>
      </c>
      <c r="D768">
        <v>1.02</v>
      </c>
      <c r="E768">
        <v>122.16</v>
      </c>
      <c r="F768">
        <v>0.01</v>
      </c>
      <c r="G768">
        <v>0.01</v>
      </c>
      <c r="H768">
        <v>1198</v>
      </c>
      <c r="I768">
        <v>45</v>
      </c>
    </row>
    <row r="769" spans="1:9" x14ac:dyDescent="0.3">
      <c r="A769" s="1">
        <v>45809</v>
      </c>
      <c r="B769" t="s">
        <v>70</v>
      </c>
      <c r="C769" t="s">
        <v>36</v>
      </c>
      <c r="D769">
        <v>0.93</v>
      </c>
      <c r="E769">
        <v>186.91</v>
      </c>
      <c r="F769">
        <v>0.01</v>
      </c>
      <c r="G769">
        <v>0.01</v>
      </c>
      <c r="H769">
        <v>2010</v>
      </c>
      <c r="I769">
        <v>46</v>
      </c>
    </row>
    <row r="770" spans="1:9" x14ac:dyDescent="0.3">
      <c r="A770" s="1">
        <v>45809</v>
      </c>
      <c r="B770" t="s">
        <v>83</v>
      </c>
      <c r="C770" t="s">
        <v>36</v>
      </c>
      <c r="D770">
        <v>0.9</v>
      </c>
      <c r="E770">
        <v>121.41</v>
      </c>
      <c r="F770">
        <v>0</v>
      </c>
      <c r="G770">
        <v>0.01</v>
      </c>
      <c r="H770">
        <v>1349</v>
      </c>
      <c r="I770">
        <v>47</v>
      </c>
    </row>
    <row r="771" spans="1:9" x14ac:dyDescent="0.3">
      <c r="A771" s="1">
        <v>45809</v>
      </c>
      <c r="B771" t="s">
        <v>79</v>
      </c>
      <c r="C771" t="s">
        <v>36</v>
      </c>
      <c r="D771">
        <v>0.88</v>
      </c>
      <c r="E771">
        <v>287.20999999999998</v>
      </c>
      <c r="F771">
        <v>0</v>
      </c>
      <c r="G771">
        <v>0.01</v>
      </c>
      <c r="H771">
        <v>3264</v>
      </c>
      <c r="I771">
        <v>48</v>
      </c>
    </row>
    <row r="772" spans="1:9" x14ac:dyDescent="0.3">
      <c r="A772" s="1">
        <v>45809</v>
      </c>
      <c r="B772" t="s">
        <v>75</v>
      </c>
      <c r="C772" t="s">
        <v>36</v>
      </c>
      <c r="D772">
        <v>0.87</v>
      </c>
      <c r="E772">
        <v>222.97</v>
      </c>
      <c r="F772">
        <v>0</v>
      </c>
      <c r="G772">
        <v>0.01</v>
      </c>
      <c r="H772">
        <v>2563</v>
      </c>
      <c r="I772">
        <v>49</v>
      </c>
    </row>
    <row r="773" spans="1:9" x14ac:dyDescent="0.3">
      <c r="A773" s="1">
        <v>45809</v>
      </c>
      <c r="B773" t="s">
        <v>64</v>
      </c>
      <c r="C773" t="s">
        <v>36</v>
      </c>
      <c r="D773">
        <v>0.87</v>
      </c>
      <c r="E773">
        <v>203.68</v>
      </c>
      <c r="F773">
        <v>0</v>
      </c>
      <c r="G773">
        <v>0.01</v>
      </c>
      <c r="H773">
        <v>2341</v>
      </c>
      <c r="I773">
        <v>49</v>
      </c>
    </row>
    <row r="774" spans="1:9" x14ac:dyDescent="0.3">
      <c r="A774" s="1">
        <v>45809</v>
      </c>
      <c r="B774" t="s">
        <v>73</v>
      </c>
      <c r="C774" t="s">
        <v>36</v>
      </c>
      <c r="D774">
        <v>0.74</v>
      </c>
      <c r="E774">
        <v>236.2</v>
      </c>
      <c r="F774">
        <v>0</v>
      </c>
      <c r="G774">
        <v>0.01</v>
      </c>
      <c r="H774">
        <v>3192</v>
      </c>
      <c r="I774">
        <v>51</v>
      </c>
    </row>
    <row r="775" spans="1:9" x14ac:dyDescent="0.3">
      <c r="A775" s="1">
        <v>45809</v>
      </c>
      <c r="B775" t="s">
        <v>74</v>
      </c>
      <c r="C775" t="s">
        <v>36</v>
      </c>
      <c r="D775">
        <v>0.73</v>
      </c>
      <c r="E775">
        <v>208.33</v>
      </c>
      <c r="F775">
        <v>0</v>
      </c>
      <c r="G775">
        <v>0.01</v>
      </c>
      <c r="H775">
        <v>2854</v>
      </c>
      <c r="I775">
        <v>52</v>
      </c>
    </row>
    <row r="776" spans="1:9" x14ac:dyDescent="0.3">
      <c r="A776" s="1">
        <v>45809</v>
      </c>
      <c r="B776" t="s">
        <v>100</v>
      </c>
      <c r="C776" t="s">
        <v>36</v>
      </c>
      <c r="D776">
        <v>0.73</v>
      </c>
      <c r="E776">
        <v>834.56</v>
      </c>
      <c r="F776">
        <v>0</v>
      </c>
      <c r="G776">
        <v>0.03</v>
      </c>
      <c r="H776">
        <v>11432</v>
      </c>
      <c r="I776">
        <v>52</v>
      </c>
    </row>
    <row r="777" spans="1:9" x14ac:dyDescent="0.3">
      <c r="A777" s="1">
        <v>45809</v>
      </c>
      <c r="B777" t="s">
        <v>78</v>
      </c>
      <c r="C777" t="s">
        <v>36</v>
      </c>
      <c r="D777">
        <v>0.62</v>
      </c>
      <c r="E777">
        <v>184.72</v>
      </c>
      <c r="F777">
        <v>0</v>
      </c>
      <c r="G777">
        <v>0.01</v>
      </c>
      <c r="H777">
        <v>2979</v>
      </c>
      <c r="I777">
        <v>54</v>
      </c>
    </row>
    <row r="778" spans="1:9" x14ac:dyDescent="0.3">
      <c r="A778" s="1">
        <v>45809</v>
      </c>
      <c r="B778" t="s">
        <v>109</v>
      </c>
      <c r="C778" t="s">
        <v>36</v>
      </c>
      <c r="D778">
        <v>0.56999999999999995</v>
      </c>
      <c r="E778">
        <v>58</v>
      </c>
      <c r="F778">
        <v>0</v>
      </c>
      <c r="G778">
        <v>0</v>
      </c>
      <c r="H778">
        <v>1018</v>
      </c>
      <c r="I778">
        <v>55</v>
      </c>
    </row>
    <row r="779" spans="1:9" x14ac:dyDescent="0.3">
      <c r="A779" s="1">
        <v>45809</v>
      </c>
      <c r="B779" t="s">
        <v>77</v>
      </c>
      <c r="C779" t="s">
        <v>36</v>
      </c>
      <c r="D779">
        <v>0.54</v>
      </c>
      <c r="E779">
        <v>53.51</v>
      </c>
      <c r="F779">
        <v>0</v>
      </c>
      <c r="G779">
        <v>0</v>
      </c>
      <c r="H779">
        <v>991</v>
      </c>
      <c r="I779">
        <v>56</v>
      </c>
    </row>
    <row r="780" spans="1:9" x14ac:dyDescent="0.3">
      <c r="A780" s="1">
        <v>45809</v>
      </c>
      <c r="B780" t="s">
        <v>98</v>
      </c>
      <c r="C780" t="s">
        <v>36</v>
      </c>
      <c r="D780">
        <v>0.54</v>
      </c>
      <c r="E780">
        <v>46.14</v>
      </c>
      <c r="F780">
        <v>0</v>
      </c>
      <c r="G780">
        <v>0</v>
      </c>
      <c r="H780">
        <v>854</v>
      </c>
      <c r="I780">
        <v>56</v>
      </c>
    </row>
    <row r="781" spans="1:9" x14ac:dyDescent="0.3">
      <c r="A781" s="1">
        <v>45809</v>
      </c>
      <c r="B781" t="s">
        <v>84</v>
      </c>
      <c r="C781" t="s">
        <v>36</v>
      </c>
      <c r="D781">
        <v>0.51</v>
      </c>
      <c r="E781">
        <v>125.51</v>
      </c>
      <c r="F781">
        <v>0</v>
      </c>
      <c r="G781">
        <v>0.01</v>
      </c>
      <c r="H781">
        <v>2461</v>
      </c>
      <c r="I781">
        <v>58</v>
      </c>
    </row>
    <row r="782" spans="1:9" x14ac:dyDescent="0.3">
      <c r="A782" s="1">
        <v>45809</v>
      </c>
      <c r="B782" t="s">
        <v>85</v>
      </c>
      <c r="C782" t="s">
        <v>36</v>
      </c>
      <c r="D782">
        <v>0.47</v>
      </c>
      <c r="E782">
        <v>134.16</v>
      </c>
      <c r="F782">
        <v>0</v>
      </c>
      <c r="G782">
        <v>0.01</v>
      </c>
      <c r="H782">
        <v>2854</v>
      </c>
      <c r="I782">
        <v>59</v>
      </c>
    </row>
    <row r="783" spans="1:9" x14ac:dyDescent="0.3">
      <c r="A783" s="1">
        <v>45809</v>
      </c>
      <c r="B783" t="s">
        <v>102</v>
      </c>
      <c r="C783" t="s">
        <v>36</v>
      </c>
      <c r="D783">
        <v>0.46</v>
      </c>
      <c r="E783">
        <v>21.59</v>
      </c>
      <c r="F783">
        <v>0</v>
      </c>
      <c r="G783">
        <v>0</v>
      </c>
      <c r="H783">
        <v>469</v>
      </c>
      <c r="I783">
        <v>60</v>
      </c>
    </row>
    <row r="784" spans="1:9" x14ac:dyDescent="0.3">
      <c r="A784" s="1">
        <v>45809</v>
      </c>
      <c r="B784" t="s">
        <v>114</v>
      </c>
      <c r="C784" t="s">
        <v>36</v>
      </c>
      <c r="D784">
        <v>0.43</v>
      </c>
      <c r="E784">
        <v>42</v>
      </c>
      <c r="F784">
        <v>0</v>
      </c>
      <c r="G784">
        <v>0</v>
      </c>
      <c r="H784">
        <v>977</v>
      </c>
      <c r="I784">
        <v>61</v>
      </c>
    </row>
    <row r="785" spans="1:9" x14ac:dyDescent="0.3">
      <c r="A785" s="1">
        <v>45809</v>
      </c>
      <c r="B785" t="s">
        <v>72</v>
      </c>
      <c r="C785" t="s">
        <v>36</v>
      </c>
      <c r="D785">
        <v>0.37</v>
      </c>
      <c r="E785">
        <v>42.7</v>
      </c>
      <c r="F785">
        <v>0</v>
      </c>
      <c r="G785">
        <v>0</v>
      </c>
      <c r="H785">
        <v>1154</v>
      </c>
      <c r="I785">
        <v>62</v>
      </c>
    </row>
    <row r="786" spans="1:9" x14ac:dyDescent="0.3">
      <c r="A786" s="1">
        <v>45809</v>
      </c>
      <c r="B786" t="s">
        <v>112</v>
      </c>
      <c r="C786" t="s">
        <v>36</v>
      </c>
      <c r="D786">
        <v>0.34</v>
      </c>
      <c r="E786">
        <v>38.22</v>
      </c>
      <c r="F786">
        <v>0</v>
      </c>
      <c r="G786">
        <v>0</v>
      </c>
      <c r="H786">
        <v>1124</v>
      </c>
      <c r="I786">
        <v>63</v>
      </c>
    </row>
    <row r="787" spans="1:9" x14ac:dyDescent="0.3">
      <c r="A787" s="1">
        <v>45809</v>
      </c>
      <c r="B787" t="s">
        <v>86</v>
      </c>
      <c r="C787" t="s">
        <v>36</v>
      </c>
      <c r="D787">
        <v>0.28000000000000003</v>
      </c>
      <c r="E787">
        <v>67.040000000000006</v>
      </c>
      <c r="F787">
        <v>0</v>
      </c>
      <c r="G787">
        <v>0</v>
      </c>
      <c r="H787">
        <v>2394</v>
      </c>
      <c r="I787">
        <v>64</v>
      </c>
    </row>
    <row r="788" spans="1:9" x14ac:dyDescent="0.3">
      <c r="A788" s="1">
        <v>45809</v>
      </c>
      <c r="B788" t="s">
        <v>89</v>
      </c>
      <c r="C788" t="s">
        <v>36</v>
      </c>
      <c r="D788">
        <v>0.28000000000000003</v>
      </c>
      <c r="E788">
        <v>82.52</v>
      </c>
      <c r="F788">
        <v>0</v>
      </c>
      <c r="G788">
        <v>0</v>
      </c>
      <c r="H788">
        <v>2947</v>
      </c>
      <c r="I788">
        <v>64</v>
      </c>
    </row>
    <row r="789" spans="1:9" x14ac:dyDescent="0.3">
      <c r="A789" s="1">
        <v>45809</v>
      </c>
      <c r="B789" t="s">
        <v>88</v>
      </c>
      <c r="C789" t="s">
        <v>36</v>
      </c>
      <c r="D789">
        <v>0.25</v>
      </c>
      <c r="E789">
        <v>57.35</v>
      </c>
      <c r="F789">
        <v>0</v>
      </c>
      <c r="G789">
        <v>0</v>
      </c>
      <c r="H789">
        <v>2294</v>
      </c>
      <c r="I789">
        <v>66</v>
      </c>
    </row>
    <row r="790" spans="1:9" x14ac:dyDescent="0.3">
      <c r="A790" s="1">
        <v>45809</v>
      </c>
      <c r="B790" t="s">
        <v>113</v>
      </c>
      <c r="C790" t="s">
        <v>36</v>
      </c>
      <c r="D790">
        <v>0.2</v>
      </c>
      <c r="E790">
        <v>14.16</v>
      </c>
      <c r="F790">
        <v>0</v>
      </c>
      <c r="G790">
        <v>0</v>
      </c>
      <c r="H790">
        <v>708</v>
      </c>
      <c r="I790">
        <v>67</v>
      </c>
    </row>
    <row r="791" spans="1:9" x14ac:dyDescent="0.3">
      <c r="A791" s="1">
        <v>45809</v>
      </c>
      <c r="B791" t="s">
        <v>97</v>
      </c>
      <c r="C791" t="s">
        <v>36</v>
      </c>
      <c r="D791">
        <v>0.17</v>
      </c>
      <c r="E791">
        <v>19.48</v>
      </c>
      <c r="F791">
        <v>0</v>
      </c>
      <c r="G791">
        <v>0</v>
      </c>
      <c r="H791">
        <v>1146</v>
      </c>
      <c r="I791">
        <v>68</v>
      </c>
    </row>
    <row r="792" spans="1:9" x14ac:dyDescent="0.3">
      <c r="A792" s="1">
        <v>45809</v>
      </c>
      <c r="B792" t="s">
        <v>90</v>
      </c>
      <c r="C792" t="s">
        <v>36</v>
      </c>
      <c r="D792">
        <v>0.17</v>
      </c>
      <c r="E792">
        <v>7.65</v>
      </c>
      <c r="F792">
        <v>0</v>
      </c>
      <c r="G792">
        <v>0</v>
      </c>
      <c r="H792">
        <v>450</v>
      </c>
      <c r="I792">
        <v>68</v>
      </c>
    </row>
    <row r="793" spans="1:9" x14ac:dyDescent="0.3">
      <c r="A793" s="1">
        <v>45809</v>
      </c>
      <c r="B793" t="s">
        <v>93</v>
      </c>
      <c r="C793" t="s">
        <v>36</v>
      </c>
      <c r="D793">
        <v>0.14000000000000001</v>
      </c>
      <c r="E793">
        <v>49.11</v>
      </c>
      <c r="F793">
        <v>0</v>
      </c>
      <c r="G793">
        <v>0</v>
      </c>
      <c r="H793">
        <v>3508</v>
      </c>
      <c r="I793">
        <v>70</v>
      </c>
    </row>
    <row r="794" spans="1:9" x14ac:dyDescent="0.3">
      <c r="A794" s="1">
        <v>45809</v>
      </c>
      <c r="B794" t="s">
        <v>91</v>
      </c>
      <c r="C794" t="s">
        <v>36</v>
      </c>
      <c r="D794">
        <v>0.1</v>
      </c>
      <c r="E794">
        <v>7.45</v>
      </c>
      <c r="F794">
        <v>0</v>
      </c>
      <c r="G794">
        <v>0</v>
      </c>
      <c r="H794">
        <v>745</v>
      </c>
      <c r="I794">
        <v>71</v>
      </c>
    </row>
    <row r="795" spans="1:9" x14ac:dyDescent="0.3">
      <c r="A795" s="1">
        <v>45809</v>
      </c>
      <c r="B795" t="s">
        <v>101</v>
      </c>
      <c r="C795" t="s">
        <v>36</v>
      </c>
      <c r="D795">
        <v>0.1</v>
      </c>
      <c r="E795">
        <v>35.57</v>
      </c>
      <c r="F795">
        <v>0</v>
      </c>
      <c r="G795">
        <v>0</v>
      </c>
      <c r="H795">
        <v>3557</v>
      </c>
      <c r="I795">
        <v>71</v>
      </c>
    </row>
    <row r="796" spans="1:9" x14ac:dyDescent="0.3">
      <c r="A796" s="1">
        <v>45809</v>
      </c>
      <c r="B796" t="s">
        <v>96</v>
      </c>
      <c r="C796" t="s">
        <v>36</v>
      </c>
      <c r="D796">
        <v>0.09</v>
      </c>
      <c r="E796">
        <v>32.85</v>
      </c>
      <c r="F796">
        <v>0</v>
      </c>
      <c r="G796">
        <v>0</v>
      </c>
      <c r="H796">
        <v>3650</v>
      </c>
      <c r="I796">
        <v>73</v>
      </c>
    </row>
    <row r="797" spans="1:9" x14ac:dyDescent="0.3">
      <c r="A797" s="1">
        <v>45809</v>
      </c>
      <c r="B797" t="s">
        <v>117</v>
      </c>
      <c r="C797" t="s">
        <v>36</v>
      </c>
      <c r="D797">
        <v>0.08</v>
      </c>
      <c r="E797">
        <v>11.38</v>
      </c>
      <c r="F797">
        <v>0</v>
      </c>
      <c r="G797">
        <v>0</v>
      </c>
      <c r="H797">
        <v>1423</v>
      </c>
      <c r="I797">
        <v>74</v>
      </c>
    </row>
    <row r="798" spans="1:9" x14ac:dyDescent="0.3">
      <c r="A798" s="1">
        <v>45809</v>
      </c>
      <c r="B798" t="s">
        <v>95</v>
      </c>
      <c r="C798" t="s">
        <v>36</v>
      </c>
      <c r="D798">
        <v>0.08</v>
      </c>
      <c r="E798">
        <v>29.99</v>
      </c>
      <c r="F798">
        <v>0</v>
      </c>
      <c r="G798">
        <v>0</v>
      </c>
      <c r="H798">
        <v>3749</v>
      </c>
      <c r="I798">
        <v>74</v>
      </c>
    </row>
    <row r="799" spans="1:9" x14ac:dyDescent="0.3">
      <c r="A799" s="1">
        <v>45809</v>
      </c>
      <c r="B799" t="s">
        <v>99</v>
      </c>
      <c r="C799" t="s">
        <v>36</v>
      </c>
      <c r="D799">
        <v>7.0000000000000007E-2</v>
      </c>
      <c r="E799">
        <v>2.2000000000000002</v>
      </c>
      <c r="F799">
        <v>0</v>
      </c>
      <c r="G799">
        <v>0</v>
      </c>
      <c r="H799">
        <v>314</v>
      </c>
      <c r="I799">
        <v>76</v>
      </c>
    </row>
    <row r="800" spans="1:9" x14ac:dyDescent="0.3">
      <c r="A800" s="1">
        <v>45809</v>
      </c>
      <c r="B800" t="s">
        <v>118</v>
      </c>
      <c r="C800" t="s">
        <v>36</v>
      </c>
      <c r="D800">
        <v>7.0000000000000007E-2</v>
      </c>
      <c r="E800">
        <v>16.010000000000002</v>
      </c>
      <c r="F800">
        <v>0</v>
      </c>
      <c r="G800">
        <v>0</v>
      </c>
      <c r="H800">
        <v>2287</v>
      </c>
      <c r="I800">
        <v>76</v>
      </c>
    </row>
    <row r="801" spans="1:9" x14ac:dyDescent="0.3">
      <c r="A801" s="1">
        <v>45809</v>
      </c>
      <c r="B801" t="s">
        <v>92</v>
      </c>
      <c r="C801" t="s">
        <v>36</v>
      </c>
      <c r="D801">
        <v>0.06</v>
      </c>
      <c r="E801">
        <v>14.82</v>
      </c>
      <c r="F801">
        <v>0</v>
      </c>
      <c r="G801">
        <v>0</v>
      </c>
      <c r="H801">
        <v>2470</v>
      </c>
      <c r="I801">
        <v>78</v>
      </c>
    </row>
    <row r="802" spans="1:9" x14ac:dyDescent="0.3">
      <c r="A802" s="1">
        <v>45809</v>
      </c>
      <c r="B802" t="s">
        <v>103</v>
      </c>
      <c r="C802" t="s">
        <v>36</v>
      </c>
      <c r="D802">
        <v>0.03</v>
      </c>
      <c r="E802">
        <v>2.23</v>
      </c>
      <c r="F802">
        <v>0</v>
      </c>
      <c r="G802">
        <v>0</v>
      </c>
      <c r="H802">
        <v>743</v>
      </c>
      <c r="I802">
        <v>79</v>
      </c>
    </row>
    <row r="803" spans="1:9" x14ac:dyDescent="0.3">
      <c r="A803" s="1">
        <v>45809</v>
      </c>
      <c r="B803" t="s">
        <v>119</v>
      </c>
      <c r="C803" t="s">
        <v>36</v>
      </c>
      <c r="D803">
        <v>0.03</v>
      </c>
      <c r="E803">
        <v>1.96</v>
      </c>
      <c r="F803">
        <v>0</v>
      </c>
      <c r="G803">
        <v>0</v>
      </c>
      <c r="H803">
        <v>653</v>
      </c>
      <c r="I803">
        <v>79</v>
      </c>
    </row>
    <row r="804" spans="1:9" x14ac:dyDescent="0.3">
      <c r="A804" s="1">
        <v>45809</v>
      </c>
      <c r="B804" t="s">
        <v>116</v>
      </c>
      <c r="C804" t="s">
        <v>36</v>
      </c>
      <c r="D804">
        <v>0.02</v>
      </c>
      <c r="E804">
        <v>8.31</v>
      </c>
      <c r="F804">
        <v>0</v>
      </c>
      <c r="G804">
        <v>0</v>
      </c>
      <c r="H804">
        <v>4155</v>
      </c>
      <c r="I804">
        <v>81</v>
      </c>
    </row>
    <row r="805" spans="1:9" x14ac:dyDescent="0.3">
      <c r="A805" s="1">
        <v>45839</v>
      </c>
      <c r="B805" t="s">
        <v>32</v>
      </c>
      <c r="C805" t="s">
        <v>32</v>
      </c>
      <c r="D805">
        <v>8931.24</v>
      </c>
      <c r="E805">
        <v>1220140.68</v>
      </c>
      <c r="F805">
        <v>45.88</v>
      </c>
      <c r="G805">
        <v>48.64</v>
      </c>
      <c r="H805">
        <v>1366</v>
      </c>
      <c r="I805">
        <v>1</v>
      </c>
    </row>
    <row r="806" spans="1:9" x14ac:dyDescent="0.3">
      <c r="A806" s="1">
        <v>45839</v>
      </c>
      <c r="B806" t="s">
        <v>33</v>
      </c>
      <c r="C806" t="s">
        <v>33</v>
      </c>
      <c r="D806">
        <v>6922.92</v>
      </c>
      <c r="E806">
        <v>891297.38</v>
      </c>
      <c r="F806">
        <v>35.56</v>
      </c>
      <c r="G806">
        <v>35.53</v>
      </c>
      <c r="H806">
        <v>1287</v>
      </c>
      <c r="I806">
        <v>2</v>
      </c>
    </row>
    <row r="807" spans="1:9" x14ac:dyDescent="0.3">
      <c r="A807" s="1">
        <v>45839</v>
      </c>
      <c r="B807" t="s">
        <v>34</v>
      </c>
      <c r="C807" t="s">
        <v>34</v>
      </c>
      <c r="D807">
        <v>1366.05</v>
      </c>
      <c r="E807">
        <v>143650.62</v>
      </c>
      <c r="F807">
        <v>7.02</v>
      </c>
      <c r="G807">
        <v>5.73</v>
      </c>
      <c r="H807">
        <v>1052</v>
      </c>
      <c r="I807">
        <v>3</v>
      </c>
    </row>
    <row r="808" spans="1:9" x14ac:dyDescent="0.3">
      <c r="A808" s="1">
        <v>45839</v>
      </c>
      <c r="B808" t="s">
        <v>37</v>
      </c>
      <c r="C808" t="s">
        <v>36</v>
      </c>
      <c r="D808">
        <v>444.06</v>
      </c>
      <c r="E808">
        <v>23562.51</v>
      </c>
      <c r="F808">
        <v>2.2799999999999998</v>
      </c>
      <c r="G808">
        <v>0.94</v>
      </c>
      <c r="H808">
        <v>531</v>
      </c>
      <c r="I808">
        <v>4</v>
      </c>
    </row>
    <row r="809" spans="1:9" x14ac:dyDescent="0.3">
      <c r="A809" s="1">
        <v>45839</v>
      </c>
      <c r="B809" t="s">
        <v>47</v>
      </c>
      <c r="C809" t="s">
        <v>36</v>
      </c>
      <c r="D809">
        <v>252.85</v>
      </c>
      <c r="E809">
        <v>9018.7099999999991</v>
      </c>
      <c r="F809">
        <v>1.3</v>
      </c>
      <c r="G809">
        <v>0.36</v>
      </c>
      <c r="H809">
        <v>357</v>
      </c>
      <c r="I809">
        <v>5</v>
      </c>
    </row>
    <row r="810" spans="1:9" x14ac:dyDescent="0.3">
      <c r="A810" s="1">
        <v>45839</v>
      </c>
      <c r="B810" t="s">
        <v>35</v>
      </c>
      <c r="C810" t="s">
        <v>36</v>
      </c>
      <c r="D810">
        <v>144.38</v>
      </c>
      <c r="E810">
        <v>55259.9</v>
      </c>
      <c r="F810">
        <v>0.74</v>
      </c>
      <c r="G810">
        <v>2.2000000000000002</v>
      </c>
      <c r="H810">
        <v>3827</v>
      </c>
      <c r="I810">
        <v>6</v>
      </c>
    </row>
    <row r="811" spans="1:9" x14ac:dyDescent="0.3">
      <c r="A811" s="1">
        <v>45839</v>
      </c>
      <c r="B811" t="s">
        <v>40</v>
      </c>
      <c r="C811" t="s">
        <v>36</v>
      </c>
      <c r="D811">
        <v>125</v>
      </c>
      <c r="E811">
        <v>1563.58</v>
      </c>
      <c r="F811">
        <v>0.64</v>
      </c>
      <c r="G811">
        <v>0.06</v>
      </c>
      <c r="H811">
        <v>125</v>
      </c>
      <c r="I811">
        <v>7</v>
      </c>
    </row>
    <row r="812" spans="1:9" x14ac:dyDescent="0.3">
      <c r="A812" s="1">
        <v>45839</v>
      </c>
      <c r="B812" t="s">
        <v>38</v>
      </c>
      <c r="C812" t="s">
        <v>36</v>
      </c>
      <c r="D812">
        <v>123.44</v>
      </c>
      <c r="E812">
        <v>9773.39</v>
      </c>
      <c r="F812">
        <v>0.63</v>
      </c>
      <c r="G812">
        <v>0.39</v>
      </c>
      <c r="H812">
        <v>792</v>
      </c>
      <c r="I812">
        <v>8</v>
      </c>
    </row>
    <row r="813" spans="1:9" x14ac:dyDescent="0.3">
      <c r="A813" s="1">
        <v>45839</v>
      </c>
      <c r="B813" t="s">
        <v>39</v>
      </c>
      <c r="C813" t="s">
        <v>36</v>
      </c>
      <c r="D813">
        <v>100.53</v>
      </c>
      <c r="E813">
        <v>10813.98</v>
      </c>
      <c r="F813">
        <v>0.52</v>
      </c>
      <c r="G813">
        <v>0.43</v>
      </c>
      <c r="H813">
        <v>1076</v>
      </c>
      <c r="I813">
        <v>9</v>
      </c>
    </row>
    <row r="814" spans="1:9" x14ac:dyDescent="0.3">
      <c r="A814" s="1">
        <v>45839</v>
      </c>
      <c r="B814" t="s">
        <v>46</v>
      </c>
      <c r="C814" t="s">
        <v>36</v>
      </c>
      <c r="D814">
        <v>87.13</v>
      </c>
      <c r="E814">
        <v>14522.39</v>
      </c>
      <c r="F814">
        <v>0.45</v>
      </c>
      <c r="G814">
        <v>0.57999999999999996</v>
      </c>
      <c r="H814">
        <v>1667</v>
      </c>
      <c r="I814">
        <v>10</v>
      </c>
    </row>
    <row r="815" spans="1:9" x14ac:dyDescent="0.3">
      <c r="A815" s="1">
        <v>45839</v>
      </c>
      <c r="B815" t="s">
        <v>42</v>
      </c>
      <c r="C815" t="s">
        <v>36</v>
      </c>
      <c r="D815">
        <v>74.599999999999994</v>
      </c>
      <c r="E815">
        <v>5412.58</v>
      </c>
      <c r="F815">
        <v>0.38</v>
      </c>
      <c r="G815">
        <v>0.22</v>
      </c>
      <c r="H815">
        <v>726</v>
      </c>
      <c r="I815">
        <v>11</v>
      </c>
    </row>
    <row r="816" spans="1:9" x14ac:dyDescent="0.3">
      <c r="A816" s="1">
        <v>45839</v>
      </c>
      <c r="B816" t="s">
        <v>41</v>
      </c>
      <c r="C816" t="s">
        <v>36</v>
      </c>
      <c r="D816">
        <v>71.33</v>
      </c>
      <c r="E816">
        <v>17102.36</v>
      </c>
      <c r="F816">
        <v>0.37</v>
      </c>
      <c r="G816">
        <v>0.68</v>
      </c>
      <c r="H816">
        <v>2398</v>
      </c>
      <c r="I816">
        <v>12</v>
      </c>
    </row>
    <row r="817" spans="1:9" x14ac:dyDescent="0.3">
      <c r="A817" s="1">
        <v>45839</v>
      </c>
      <c r="B817" t="s">
        <v>43</v>
      </c>
      <c r="C817" t="s">
        <v>36</v>
      </c>
      <c r="D817">
        <v>66.63</v>
      </c>
      <c r="E817">
        <v>8497.73</v>
      </c>
      <c r="F817">
        <v>0.34</v>
      </c>
      <c r="G817">
        <v>0.34</v>
      </c>
      <c r="H817">
        <v>1275</v>
      </c>
      <c r="I817">
        <v>13</v>
      </c>
    </row>
    <row r="818" spans="1:9" x14ac:dyDescent="0.3">
      <c r="A818" s="1">
        <v>45839</v>
      </c>
      <c r="B818" t="s">
        <v>44</v>
      </c>
      <c r="C818" t="s">
        <v>36</v>
      </c>
      <c r="D818">
        <v>64.97</v>
      </c>
      <c r="E818">
        <v>15430.59</v>
      </c>
      <c r="F818">
        <v>0.33</v>
      </c>
      <c r="G818">
        <v>0.62</v>
      </c>
      <c r="H818">
        <v>2375</v>
      </c>
      <c r="I818">
        <v>14</v>
      </c>
    </row>
    <row r="819" spans="1:9" x14ac:dyDescent="0.3">
      <c r="A819" s="1">
        <v>45839</v>
      </c>
      <c r="B819" t="s">
        <v>65</v>
      </c>
      <c r="C819" t="s">
        <v>36</v>
      </c>
      <c r="D819">
        <v>63.63</v>
      </c>
      <c r="E819">
        <v>1539.48</v>
      </c>
      <c r="F819">
        <v>0.33</v>
      </c>
      <c r="G819">
        <v>0.06</v>
      </c>
      <c r="H819">
        <v>242</v>
      </c>
      <c r="I819">
        <v>15</v>
      </c>
    </row>
    <row r="820" spans="1:9" x14ac:dyDescent="0.3">
      <c r="A820" s="1">
        <v>45839</v>
      </c>
      <c r="B820" t="s">
        <v>45</v>
      </c>
      <c r="C820" t="s">
        <v>36</v>
      </c>
      <c r="D820">
        <v>55.6</v>
      </c>
      <c r="E820">
        <v>9491.6200000000008</v>
      </c>
      <c r="F820">
        <v>0.28999999999999998</v>
      </c>
      <c r="G820">
        <v>0.38</v>
      </c>
      <c r="H820">
        <v>1707</v>
      </c>
      <c r="I820">
        <v>16</v>
      </c>
    </row>
    <row r="821" spans="1:9" x14ac:dyDescent="0.3">
      <c r="A821" s="1">
        <v>45839</v>
      </c>
      <c r="B821" t="s">
        <v>49</v>
      </c>
      <c r="C821" t="s">
        <v>36</v>
      </c>
      <c r="D821">
        <v>43.17</v>
      </c>
      <c r="E821">
        <v>5578.43</v>
      </c>
      <c r="F821">
        <v>0.22</v>
      </c>
      <c r="G821">
        <v>0.22</v>
      </c>
      <c r="H821">
        <v>1292</v>
      </c>
      <c r="I821">
        <v>17</v>
      </c>
    </row>
    <row r="822" spans="1:9" x14ac:dyDescent="0.3">
      <c r="A822" s="1">
        <v>45839</v>
      </c>
      <c r="B822" t="s">
        <v>48</v>
      </c>
      <c r="C822" t="s">
        <v>36</v>
      </c>
      <c r="D822">
        <v>21.34</v>
      </c>
      <c r="E822">
        <v>1509.17</v>
      </c>
      <c r="F822">
        <v>0.11</v>
      </c>
      <c r="G822">
        <v>0.06</v>
      </c>
      <c r="H822">
        <v>707</v>
      </c>
      <c r="I822">
        <v>18</v>
      </c>
    </row>
    <row r="823" spans="1:9" x14ac:dyDescent="0.3">
      <c r="A823" s="1">
        <v>45839</v>
      </c>
      <c r="B823" t="s">
        <v>53</v>
      </c>
      <c r="C823" t="s">
        <v>36</v>
      </c>
      <c r="D823">
        <v>19.829999999999998</v>
      </c>
      <c r="E823">
        <v>2586.2199999999998</v>
      </c>
      <c r="F823">
        <v>0.1</v>
      </c>
      <c r="G823">
        <v>0.1</v>
      </c>
      <c r="H823">
        <v>1304</v>
      </c>
      <c r="I823">
        <v>19</v>
      </c>
    </row>
    <row r="824" spans="1:9" x14ac:dyDescent="0.3">
      <c r="A824" s="1">
        <v>45839</v>
      </c>
      <c r="B824" t="s">
        <v>57</v>
      </c>
      <c r="C824" t="s">
        <v>36</v>
      </c>
      <c r="D824">
        <v>18.16</v>
      </c>
      <c r="E824">
        <v>1759.02</v>
      </c>
      <c r="F824">
        <v>0.09</v>
      </c>
      <c r="G824">
        <v>7.0000000000000007E-2</v>
      </c>
      <c r="H824">
        <v>969</v>
      </c>
      <c r="I824">
        <v>20</v>
      </c>
    </row>
    <row r="825" spans="1:9" x14ac:dyDescent="0.3">
      <c r="A825" s="1">
        <v>45839</v>
      </c>
      <c r="B825" t="s">
        <v>55</v>
      </c>
      <c r="C825" t="s">
        <v>36</v>
      </c>
      <c r="D825">
        <v>18.079999999999998</v>
      </c>
      <c r="E825">
        <v>2707.93</v>
      </c>
      <c r="F825">
        <v>0.09</v>
      </c>
      <c r="G825">
        <v>0.11</v>
      </c>
      <c r="H825">
        <v>1498</v>
      </c>
      <c r="I825">
        <v>21</v>
      </c>
    </row>
    <row r="826" spans="1:9" x14ac:dyDescent="0.3">
      <c r="A826" s="1">
        <v>45839</v>
      </c>
      <c r="B826" t="s">
        <v>50</v>
      </c>
      <c r="C826" t="s">
        <v>36</v>
      </c>
      <c r="D826">
        <v>14.06</v>
      </c>
      <c r="E826">
        <v>11012.81</v>
      </c>
      <c r="F826">
        <v>7.0000000000000007E-2</v>
      </c>
      <c r="G826">
        <v>0.44</v>
      </c>
      <c r="H826">
        <v>7833</v>
      </c>
      <c r="I826">
        <v>22</v>
      </c>
    </row>
    <row r="827" spans="1:9" x14ac:dyDescent="0.3">
      <c r="A827" s="1">
        <v>45839</v>
      </c>
      <c r="B827" t="s">
        <v>54</v>
      </c>
      <c r="C827" t="s">
        <v>36</v>
      </c>
      <c r="D827">
        <v>12.26</v>
      </c>
      <c r="E827">
        <v>3633.07</v>
      </c>
      <c r="F827">
        <v>0.06</v>
      </c>
      <c r="G827">
        <v>0.14000000000000001</v>
      </c>
      <c r="H827">
        <v>2963</v>
      </c>
      <c r="I827">
        <v>23</v>
      </c>
    </row>
    <row r="828" spans="1:9" x14ac:dyDescent="0.3">
      <c r="A828" s="1">
        <v>45839</v>
      </c>
      <c r="B828" t="s">
        <v>52</v>
      </c>
      <c r="C828" t="s">
        <v>36</v>
      </c>
      <c r="D828">
        <v>10.87</v>
      </c>
      <c r="E828">
        <v>2516.08</v>
      </c>
      <c r="F828">
        <v>0.06</v>
      </c>
      <c r="G828">
        <v>0.1</v>
      </c>
      <c r="H828">
        <v>2315</v>
      </c>
      <c r="I828">
        <v>24</v>
      </c>
    </row>
    <row r="829" spans="1:9" x14ac:dyDescent="0.3">
      <c r="A829" s="1">
        <v>45839</v>
      </c>
      <c r="B829" t="s">
        <v>56</v>
      </c>
      <c r="C829" t="s">
        <v>36</v>
      </c>
      <c r="D829">
        <v>9.34</v>
      </c>
      <c r="E829">
        <v>669.72</v>
      </c>
      <c r="F829">
        <v>0.05</v>
      </c>
      <c r="G829">
        <v>0.03</v>
      </c>
      <c r="H829">
        <v>717</v>
      </c>
      <c r="I829">
        <v>25</v>
      </c>
    </row>
    <row r="830" spans="1:9" x14ac:dyDescent="0.3">
      <c r="A830" s="1">
        <v>45839</v>
      </c>
      <c r="B830" t="s">
        <v>67</v>
      </c>
      <c r="C830" t="s">
        <v>36</v>
      </c>
      <c r="D830">
        <v>8.5399999999999991</v>
      </c>
      <c r="E830">
        <v>1388.7</v>
      </c>
      <c r="F830">
        <v>0.04</v>
      </c>
      <c r="G830">
        <v>0.06</v>
      </c>
      <c r="H830">
        <v>1626</v>
      </c>
      <c r="I830">
        <v>26</v>
      </c>
    </row>
    <row r="831" spans="1:9" x14ac:dyDescent="0.3">
      <c r="A831" s="1">
        <v>45839</v>
      </c>
      <c r="B831" t="s">
        <v>59</v>
      </c>
      <c r="C831" t="s">
        <v>36</v>
      </c>
      <c r="D831">
        <v>6.3</v>
      </c>
      <c r="E831">
        <v>981.5</v>
      </c>
      <c r="F831">
        <v>0.03</v>
      </c>
      <c r="G831">
        <v>0.04</v>
      </c>
      <c r="H831">
        <v>1558</v>
      </c>
      <c r="I831">
        <v>27</v>
      </c>
    </row>
    <row r="832" spans="1:9" x14ac:dyDescent="0.3">
      <c r="A832" s="1">
        <v>45839</v>
      </c>
      <c r="B832" t="s">
        <v>58</v>
      </c>
      <c r="C832" t="s">
        <v>36</v>
      </c>
      <c r="D832">
        <v>5.86</v>
      </c>
      <c r="E832">
        <v>1163.18</v>
      </c>
      <c r="F832">
        <v>0.03</v>
      </c>
      <c r="G832">
        <v>0.05</v>
      </c>
      <c r="H832">
        <v>1985</v>
      </c>
      <c r="I832">
        <v>28</v>
      </c>
    </row>
    <row r="833" spans="1:9" x14ac:dyDescent="0.3">
      <c r="A833" s="1">
        <v>45839</v>
      </c>
      <c r="B833" t="s">
        <v>62</v>
      </c>
      <c r="C833" t="s">
        <v>36</v>
      </c>
      <c r="D833">
        <v>4.47</v>
      </c>
      <c r="E833">
        <v>306.58</v>
      </c>
      <c r="F833">
        <v>0.02</v>
      </c>
      <c r="G833">
        <v>0.01</v>
      </c>
      <c r="H833">
        <v>686</v>
      </c>
      <c r="I833">
        <v>29</v>
      </c>
    </row>
    <row r="834" spans="1:9" x14ac:dyDescent="0.3">
      <c r="A834" s="1">
        <v>45839</v>
      </c>
      <c r="B834" t="s">
        <v>60</v>
      </c>
      <c r="C834" t="s">
        <v>36</v>
      </c>
      <c r="D834">
        <v>4.43</v>
      </c>
      <c r="E834">
        <v>770.63</v>
      </c>
      <c r="F834">
        <v>0.02</v>
      </c>
      <c r="G834">
        <v>0.03</v>
      </c>
      <c r="H834">
        <v>1740</v>
      </c>
      <c r="I834">
        <v>30</v>
      </c>
    </row>
    <row r="835" spans="1:9" x14ac:dyDescent="0.3">
      <c r="A835" s="1">
        <v>45839</v>
      </c>
      <c r="B835" t="s">
        <v>61</v>
      </c>
      <c r="C835" t="s">
        <v>36</v>
      </c>
      <c r="D835">
        <v>4.05</v>
      </c>
      <c r="E835">
        <v>1018.59</v>
      </c>
      <c r="F835">
        <v>0.02</v>
      </c>
      <c r="G835">
        <v>0.04</v>
      </c>
      <c r="H835">
        <v>2515</v>
      </c>
      <c r="I835">
        <v>31</v>
      </c>
    </row>
    <row r="836" spans="1:9" x14ac:dyDescent="0.3">
      <c r="A836" s="1">
        <v>45839</v>
      </c>
      <c r="B836" t="s">
        <v>63</v>
      </c>
      <c r="C836" t="s">
        <v>36</v>
      </c>
      <c r="D836">
        <v>3.67</v>
      </c>
      <c r="E836">
        <v>980.66</v>
      </c>
      <c r="F836">
        <v>0.02</v>
      </c>
      <c r="G836">
        <v>0.04</v>
      </c>
      <c r="H836">
        <v>2672</v>
      </c>
      <c r="I836">
        <v>32</v>
      </c>
    </row>
    <row r="837" spans="1:9" x14ac:dyDescent="0.3">
      <c r="A837" s="1">
        <v>45839</v>
      </c>
      <c r="B837" t="s">
        <v>66</v>
      </c>
      <c r="C837" t="s">
        <v>36</v>
      </c>
      <c r="D837">
        <v>3.14</v>
      </c>
      <c r="E837">
        <v>47.4</v>
      </c>
      <c r="F837">
        <v>0.02</v>
      </c>
      <c r="G837">
        <v>0</v>
      </c>
      <c r="H837">
        <v>151</v>
      </c>
      <c r="I837">
        <v>33</v>
      </c>
    </row>
    <row r="838" spans="1:9" x14ac:dyDescent="0.3">
      <c r="A838" s="1">
        <v>45839</v>
      </c>
      <c r="B838" t="s">
        <v>82</v>
      </c>
      <c r="C838" t="s">
        <v>36</v>
      </c>
      <c r="D838">
        <v>2.85</v>
      </c>
      <c r="E838">
        <v>323.87</v>
      </c>
      <c r="F838">
        <v>0.01</v>
      </c>
      <c r="G838">
        <v>0.01</v>
      </c>
      <c r="H838">
        <v>1136</v>
      </c>
      <c r="I838">
        <v>34</v>
      </c>
    </row>
    <row r="839" spans="1:9" x14ac:dyDescent="0.3">
      <c r="A839" s="1">
        <v>45839</v>
      </c>
      <c r="B839" t="s">
        <v>108</v>
      </c>
      <c r="C839" t="s">
        <v>36</v>
      </c>
      <c r="D839">
        <v>2.84</v>
      </c>
      <c r="E839">
        <v>400.92</v>
      </c>
      <c r="F839">
        <v>0.01</v>
      </c>
      <c r="G839">
        <v>0.02</v>
      </c>
      <c r="H839">
        <v>1412</v>
      </c>
      <c r="I839">
        <v>35</v>
      </c>
    </row>
    <row r="840" spans="1:9" x14ac:dyDescent="0.3">
      <c r="A840" s="1">
        <v>45839</v>
      </c>
      <c r="B840" t="s">
        <v>94</v>
      </c>
      <c r="C840" t="s">
        <v>36</v>
      </c>
      <c r="D840">
        <v>2.78</v>
      </c>
      <c r="E840">
        <v>110.25</v>
      </c>
      <c r="F840">
        <v>0.01</v>
      </c>
      <c r="G840">
        <v>0</v>
      </c>
      <c r="H840">
        <v>397</v>
      </c>
      <c r="I840">
        <v>36</v>
      </c>
    </row>
    <row r="841" spans="1:9" x14ac:dyDescent="0.3">
      <c r="A841" s="1">
        <v>45839</v>
      </c>
      <c r="B841" t="s">
        <v>51</v>
      </c>
      <c r="C841" t="s">
        <v>36</v>
      </c>
      <c r="D841">
        <v>2.7</v>
      </c>
      <c r="E841">
        <v>155.63999999999999</v>
      </c>
      <c r="F841">
        <v>0.01</v>
      </c>
      <c r="G841">
        <v>0.01</v>
      </c>
      <c r="H841">
        <v>576</v>
      </c>
      <c r="I841">
        <v>37</v>
      </c>
    </row>
    <row r="842" spans="1:9" x14ac:dyDescent="0.3">
      <c r="A842" s="1">
        <v>45839</v>
      </c>
      <c r="B842" t="s">
        <v>71</v>
      </c>
      <c r="C842" t="s">
        <v>36</v>
      </c>
      <c r="D842">
        <v>2.62</v>
      </c>
      <c r="E842">
        <v>343.24</v>
      </c>
      <c r="F842">
        <v>0.01</v>
      </c>
      <c r="G842">
        <v>0.01</v>
      </c>
      <c r="H842">
        <v>1310</v>
      </c>
      <c r="I842">
        <v>38</v>
      </c>
    </row>
    <row r="843" spans="1:9" x14ac:dyDescent="0.3">
      <c r="A843" s="1">
        <v>45839</v>
      </c>
      <c r="B843" t="s">
        <v>81</v>
      </c>
      <c r="C843" t="s">
        <v>36</v>
      </c>
      <c r="D843">
        <v>2.38</v>
      </c>
      <c r="E843">
        <v>155.72</v>
      </c>
      <c r="F843">
        <v>0.01</v>
      </c>
      <c r="G843">
        <v>0.01</v>
      </c>
      <c r="H843">
        <v>654</v>
      </c>
      <c r="I843">
        <v>39</v>
      </c>
    </row>
    <row r="844" spans="1:9" x14ac:dyDescent="0.3">
      <c r="A844" s="1">
        <v>45839</v>
      </c>
      <c r="B844" t="s">
        <v>69</v>
      </c>
      <c r="C844" t="s">
        <v>36</v>
      </c>
      <c r="D844">
        <v>2.0099999999999998</v>
      </c>
      <c r="E844">
        <v>529.28</v>
      </c>
      <c r="F844">
        <v>0.01</v>
      </c>
      <c r="G844">
        <v>0.02</v>
      </c>
      <c r="H844">
        <v>2633</v>
      </c>
      <c r="I844">
        <v>40</v>
      </c>
    </row>
    <row r="845" spans="1:9" x14ac:dyDescent="0.3">
      <c r="A845" s="1">
        <v>45839</v>
      </c>
      <c r="B845" t="s">
        <v>115</v>
      </c>
      <c r="C845" t="s">
        <v>36</v>
      </c>
      <c r="D845">
        <v>1.86</v>
      </c>
      <c r="E845">
        <v>730.24</v>
      </c>
      <c r="F845">
        <v>0.01</v>
      </c>
      <c r="G845">
        <v>0.03</v>
      </c>
      <c r="H845">
        <v>3926</v>
      </c>
      <c r="I845">
        <v>41</v>
      </c>
    </row>
    <row r="846" spans="1:9" x14ac:dyDescent="0.3">
      <c r="A846" s="1">
        <v>45839</v>
      </c>
      <c r="B846" t="s">
        <v>68</v>
      </c>
      <c r="C846" t="s">
        <v>36</v>
      </c>
      <c r="D846">
        <v>1.73</v>
      </c>
      <c r="E846">
        <v>98.15</v>
      </c>
      <c r="F846">
        <v>0.01</v>
      </c>
      <c r="G846">
        <v>0</v>
      </c>
      <c r="H846">
        <v>567</v>
      </c>
      <c r="I846">
        <v>42</v>
      </c>
    </row>
    <row r="847" spans="1:9" x14ac:dyDescent="0.3">
      <c r="A847" s="1">
        <v>45839</v>
      </c>
      <c r="B847" t="s">
        <v>80</v>
      </c>
      <c r="C847" t="s">
        <v>36</v>
      </c>
      <c r="D847">
        <v>1.26</v>
      </c>
      <c r="E847">
        <v>178.71</v>
      </c>
      <c r="F847">
        <v>0.01</v>
      </c>
      <c r="G847">
        <v>0.01</v>
      </c>
      <c r="H847">
        <v>1418</v>
      </c>
      <c r="I847">
        <v>43</v>
      </c>
    </row>
    <row r="848" spans="1:9" x14ac:dyDescent="0.3">
      <c r="A848" s="1">
        <v>45839</v>
      </c>
      <c r="B848" t="s">
        <v>64</v>
      </c>
      <c r="C848" t="s">
        <v>36</v>
      </c>
      <c r="D848">
        <v>1.1100000000000001</v>
      </c>
      <c r="E848">
        <v>255.91</v>
      </c>
      <c r="F848">
        <v>0.01</v>
      </c>
      <c r="G848">
        <v>0.01</v>
      </c>
      <c r="H848">
        <v>2305</v>
      </c>
      <c r="I848">
        <v>44</v>
      </c>
    </row>
    <row r="849" spans="1:9" x14ac:dyDescent="0.3">
      <c r="A849" s="1">
        <v>45839</v>
      </c>
      <c r="B849" t="s">
        <v>76</v>
      </c>
      <c r="C849" t="s">
        <v>36</v>
      </c>
      <c r="D849">
        <v>1.0900000000000001</v>
      </c>
      <c r="E849">
        <v>135.52000000000001</v>
      </c>
      <c r="F849">
        <v>0.01</v>
      </c>
      <c r="G849">
        <v>0.01</v>
      </c>
      <c r="H849">
        <v>1243</v>
      </c>
      <c r="I849">
        <v>45</v>
      </c>
    </row>
    <row r="850" spans="1:9" x14ac:dyDescent="0.3">
      <c r="A850" s="1">
        <v>45839</v>
      </c>
      <c r="B850" t="s">
        <v>83</v>
      </c>
      <c r="C850" t="s">
        <v>36</v>
      </c>
      <c r="D850">
        <v>1.06</v>
      </c>
      <c r="E850">
        <v>151.82</v>
      </c>
      <c r="F850">
        <v>0.01</v>
      </c>
      <c r="G850">
        <v>0.01</v>
      </c>
      <c r="H850">
        <v>1432</v>
      </c>
      <c r="I850">
        <v>46</v>
      </c>
    </row>
    <row r="851" spans="1:9" x14ac:dyDescent="0.3">
      <c r="A851" s="1">
        <v>45839</v>
      </c>
      <c r="B851" t="s">
        <v>79</v>
      </c>
      <c r="C851" t="s">
        <v>36</v>
      </c>
      <c r="D851">
        <v>1.01</v>
      </c>
      <c r="E851">
        <v>320.5</v>
      </c>
      <c r="F851">
        <v>0.01</v>
      </c>
      <c r="G851">
        <v>0.01</v>
      </c>
      <c r="H851">
        <v>3173</v>
      </c>
      <c r="I851">
        <v>47</v>
      </c>
    </row>
    <row r="852" spans="1:9" x14ac:dyDescent="0.3">
      <c r="A852" s="1">
        <v>45839</v>
      </c>
      <c r="B852" t="s">
        <v>87</v>
      </c>
      <c r="C852" t="s">
        <v>36</v>
      </c>
      <c r="D852">
        <v>0.99</v>
      </c>
      <c r="E852">
        <v>150.81</v>
      </c>
      <c r="F852">
        <v>0.01</v>
      </c>
      <c r="G852">
        <v>0.01</v>
      </c>
      <c r="H852">
        <v>1523</v>
      </c>
      <c r="I852">
        <v>48</v>
      </c>
    </row>
    <row r="853" spans="1:9" x14ac:dyDescent="0.3">
      <c r="A853" s="1">
        <v>45839</v>
      </c>
      <c r="B853" t="s">
        <v>98</v>
      </c>
      <c r="C853" t="s">
        <v>36</v>
      </c>
      <c r="D853">
        <v>0.92</v>
      </c>
      <c r="E853">
        <v>62.45</v>
      </c>
      <c r="F853">
        <v>0</v>
      </c>
      <c r="G853">
        <v>0</v>
      </c>
      <c r="H853">
        <v>679</v>
      </c>
      <c r="I853">
        <v>49</v>
      </c>
    </row>
    <row r="854" spans="1:9" x14ac:dyDescent="0.3">
      <c r="A854" s="1">
        <v>45839</v>
      </c>
      <c r="B854" t="s">
        <v>75</v>
      </c>
      <c r="C854" t="s">
        <v>36</v>
      </c>
      <c r="D854">
        <v>0.88</v>
      </c>
      <c r="E854">
        <v>222.49</v>
      </c>
      <c r="F854">
        <v>0</v>
      </c>
      <c r="G854">
        <v>0.01</v>
      </c>
      <c r="H854">
        <v>2528</v>
      </c>
      <c r="I854">
        <v>50</v>
      </c>
    </row>
    <row r="855" spans="1:9" x14ac:dyDescent="0.3">
      <c r="A855" s="1">
        <v>45839</v>
      </c>
      <c r="B855" t="s">
        <v>70</v>
      </c>
      <c r="C855" t="s">
        <v>36</v>
      </c>
      <c r="D855">
        <v>0.86</v>
      </c>
      <c r="E855">
        <v>186.24</v>
      </c>
      <c r="F855">
        <v>0</v>
      </c>
      <c r="G855">
        <v>0.01</v>
      </c>
      <c r="H855">
        <v>2166</v>
      </c>
      <c r="I855">
        <v>51</v>
      </c>
    </row>
    <row r="856" spans="1:9" x14ac:dyDescent="0.3">
      <c r="A856" s="1">
        <v>45839</v>
      </c>
      <c r="B856" t="s">
        <v>74</v>
      </c>
      <c r="C856" t="s">
        <v>36</v>
      </c>
      <c r="D856">
        <v>0.83</v>
      </c>
      <c r="E856">
        <v>240.25</v>
      </c>
      <c r="F856">
        <v>0</v>
      </c>
      <c r="G856">
        <v>0.01</v>
      </c>
      <c r="H856">
        <v>2895</v>
      </c>
      <c r="I856">
        <v>52</v>
      </c>
    </row>
    <row r="857" spans="1:9" x14ac:dyDescent="0.3">
      <c r="A857" s="1">
        <v>45839</v>
      </c>
      <c r="B857" t="s">
        <v>73</v>
      </c>
      <c r="C857" t="s">
        <v>36</v>
      </c>
      <c r="D857">
        <v>0.79</v>
      </c>
      <c r="E857">
        <v>259.13</v>
      </c>
      <c r="F857">
        <v>0</v>
      </c>
      <c r="G857">
        <v>0.01</v>
      </c>
      <c r="H857">
        <v>3280</v>
      </c>
      <c r="I857">
        <v>53</v>
      </c>
    </row>
    <row r="858" spans="1:9" x14ac:dyDescent="0.3">
      <c r="A858" s="1">
        <v>45839</v>
      </c>
      <c r="B858" t="s">
        <v>100</v>
      </c>
      <c r="C858" t="s">
        <v>36</v>
      </c>
      <c r="D858">
        <v>0.78</v>
      </c>
      <c r="E858">
        <v>918.16</v>
      </c>
      <c r="F858">
        <v>0</v>
      </c>
      <c r="G858">
        <v>0.04</v>
      </c>
      <c r="H858">
        <v>11771</v>
      </c>
      <c r="I858">
        <v>54</v>
      </c>
    </row>
    <row r="859" spans="1:9" x14ac:dyDescent="0.3">
      <c r="A859" s="1">
        <v>45839</v>
      </c>
      <c r="B859" t="s">
        <v>112</v>
      </c>
      <c r="C859" t="s">
        <v>36</v>
      </c>
      <c r="D859">
        <v>0.71</v>
      </c>
      <c r="E859">
        <v>64.31</v>
      </c>
      <c r="F859">
        <v>0</v>
      </c>
      <c r="G859">
        <v>0</v>
      </c>
      <c r="H859">
        <v>906</v>
      </c>
      <c r="I859">
        <v>55</v>
      </c>
    </row>
    <row r="860" spans="1:9" x14ac:dyDescent="0.3">
      <c r="A860" s="1">
        <v>45839</v>
      </c>
      <c r="B860" t="s">
        <v>78</v>
      </c>
      <c r="C860" t="s">
        <v>36</v>
      </c>
      <c r="D860">
        <v>0.65</v>
      </c>
      <c r="E860">
        <v>201.78</v>
      </c>
      <c r="F860">
        <v>0</v>
      </c>
      <c r="G860">
        <v>0.01</v>
      </c>
      <c r="H860">
        <v>3104</v>
      </c>
      <c r="I860">
        <v>56</v>
      </c>
    </row>
    <row r="861" spans="1:9" x14ac:dyDescent="0.3">
      <c r="A861" s="1">
        <v>45839</v>
      </c>
      <c r="B861" t="s">
        <v>114</v>
      </c>
      <c r="C861" t="s">
        <v>36</v>
      </c>
      <c r="D861">
        <v>0.6</v>
      </c>
      <c r="E861">
        <v>54.67</v>
      </c>
      <c r="F861">
        <v>0</v>
      </c>
      <c r="G861">
        <v>0</v>
      </c>
      <c r="H861">
        <v>911</v>
      </c>
      <c r="I861">
        <v>57</v>
      </c>
    </row>
    <row r="862" spans="1:9" x14ac:dyDescent="0.3">
      <c r="A862" s="1">
        <v>45839</v>
      </c>
      <c r="B862" t="s">
        <v>109</v>
      </c>
      <c r="C862" t="s">
        <v>36</v>
      </c>
      <c r="D862">
        <v>0.59</v>
      </c>
      <c r="E862">
        <v>64.58</v>
      </c>
      <c r="F862">
        <v>0</v>
      </c>
      <c r="G862">
        <v>0</v>
      </c>
      <c r="H862">
        <v>1095</v>
      </c>
      <c r="I862">
        <v>58</v>
      </c>
    </row>
    <row r="863" spans="1:9" x14ac:dyDescent="0.3">
      <c r="A863" s="1">
        <v>45839</v>
      </c>
      <c r="B863" t="s">
        <v>84</v>
      </c>
      <c r="C863" t="s">
        <v>36</v>
      </c>
      <c r="D863">
        <v>0.56999999999999995</v>
      </c>
      <c r="E863">
        <v>140.44</v>
      </c>
      <c r="F863">
        <v>0</v>
      </c>
      <c r="G863">
        <v>0.01</v>
      </c>
      <c r="H863">
        <v>2464</v>
      </c>
      <c r="I863">
        <v>59</v>
      </c>
    </row>
    <row r="864" spans="1:9" x14ac:dyDescent="0.3">
      <c r="A864" s="1">
        <v>45839</v>
      </c>
      <c r="B864" t="s">
        <v>77</v>
      </c>
      <c r="C864" t="s">
        <v>36</v>
      </c>
      <c r="D864">
        <v>0.55000000000000004</v>
      </c>
      <c r="E864">
        <v>55.18</v>
      </c>
      <c r="F864">
        <v>0</v>
      </c>
      <c r="G864">
        <v>0</v>
      </c>
      <c r="H864">
        <v>1003</v>
      </c>
      <c r="I864">
        <v>60</v>
      </c>
    </row>
    <row r="865" spans="1:9" x14ac:dyDescent="0.3">
      <c r="A865" s="1">
        <v>45839</v>
      </c>
      <c r="B865" t="s">
        <v>102</v>
      </c>
      <c r="C865" t="s">
        <v>36</v>
      </c>
      <c r="D865">
        <v>0.5</v>
      </c>
      <c r="E865">
        <v>22.32</v>
      </c>
      <c r="F865">
        <v>0</v>
      </c>
      <c r="G865">
        <v>0</v>
      </c>
      <c r="H865">
        <v>446</v>
      </c>
      <c r="I865">
        <v>61</v>
      </c>
    </row>
    <row r="866" spans="1:9" x14ac:dyDescent="0.3">
      <c r="A866" s="1">
        <v>45839</v>
      </c>
      <c r="B866" t="s">
        <v>85</v>
      </c>
      <c r="C866" t="s">
        <v>36</v>
      </c>
      <c r="D866">
        <v>0.49</v>
      </c>
      <c r="E866">
        <v>144.19999999999999</v>
      </c>
      <c r="F866">
        <v>0</v>
      </c>
      <c r="G866">
        <v>0.01</v>
      </c>
      <c r="H866">
        <v>2943</v>
      </c>
      <c r="I866">
        <v>62</v>
      </c>
    </row>
    <row r="867" spans="1:9" x14ac:dyDescent="0.3">
      <c r="A867" s="1">
        <v>45839</v>
      </c>
      <c r="B867" t="s">
        <v>72</v>
      </c>
      <c r="C867" t="s">
        <v>36</v>
      </c>
      <c r="D867">
        <v>0.39</v>
      </c>
      <c r="E867">
        <v>23.14</v>
      </c>
      <c r="F867">
        <v>0</v>
      </c>
      <c r="G867">
        <v>0</v>
      </c>
      <c r="H867">
        <v>593</v>
      </c>
      <c r="I867">
        <v>63</v>
      </c>
    </row>
    <row r="868" spans="1:9" x14ac:dyDescent="0.3">
      <c r="A868" s="1">
        <v>45839</v>
      </c>
      <c r="B868" t="s">
        <v>89</v>
      </c>
      <c r="C868" t="s">
        <v>36</v>
      </c>
      <c r="D868">
        <v>0.31</v>
      </c>
      <c r="E868">
        <v>95.7</v>
      </c>
      <c r="F868">
        <v>0</v>
      </c>
      <c r="G868">
        <v>0</v>
      </c>
      <c r="H868">
        <v>3087</v>
      </c>
      <c r="I868">
        <v>64</v>
      </c>
    </row>
    <row r="869" spans="1:9" x14ac:dyDescent="0.3">
      <c r="A869" s="1">
        <v>45839</v>
      </c>
      <c r="B869" t="s">
        <v>86</v>
      </c>
      <c r="C869" t="s">
        <v>36</v>
      </c>
      <c r="D869">
        <v>0.28999999999999998</v>
      </c>
      <c r="E869">
        <v>69.349999999999994</v>
      </c>
      <c r="F869">
        <v>0</v>
      </c>
      <c r="G869">
        <v>0</v>
      </c>
      <c r="H869">
        <v>2391</v>
      </c>
      <c r="I869">
        <v>65</v>
      </c>
    </row>
    <row r="870" spans="1:9" x14ac:dyDescent="0.3">
      <c r="A870" s="1">
        <v>45839</v>
      </c>
      <c r="B870" t="s">
        <v>88</v>
      </c>
      <c r="C870" t="s">
        <v>36</v>
      </c>
      <c r="D870">
        <v>0.26</v>
      </c>
      <c r="E870">
        <v>61.44</v>
      </c>
      <c r="F870">
        <v>0</v>
      </c>
      <c r="G870">
        <v>0</v>
      </c>
      <c r="H870">
        <v>2363</v>
      </c>
      <c r="I870">
        <v>66</v>
      </c>
    </row>
    <row r="871" spans="1:9" x14ac:dyDescent="0.3">
      <c r="A871" s="1">
        <v>45839</v>
      </c>
      <c r="B871" t="s">
        <v>113</v>
      </c>
      <c r="C871" t="s">
        <v>36</v>
      </c>
      <c r="D871">
        <v>0.26</v>
      </c>
      <c r="E871">
        <v>21.44</v>
      </c>
      <c r="F871">
        <v>0</v>
      </c>
      <c r="G871">
        <v>0</v>
      </c>
      <c r="H871">
        <v>825</v>
      </c>
      <c r="I871">
        <v>66</v>
      </c>
    </row>
    <row r="872" spans="1:9" x14ac:dyDescent="0.3">
      <c r="A872" s="1">
        <v>45839</v>
      </c>
      <c r="B872" t="s">
        <v>97</v>
      </c>
      <c r="C872" t="s">
        <v>36</v>
      </c>
      <c r="D872">
        <v>0.22</v>
      </c>
      <c r="E872">
        <v>23.19</v>
      </c>
      <c r="F872">
        <v>0</v>
      </c>
      <c r="G872">
        <v>0</v>
      </c>
      <c r="H872">
        <v>1054</v>
      </c>
      <c r="I872">
        <v>68</v>
      </c>
    </row>
    <row r="873" spans="1:9" x14ac:dyDescent="0.3">
      <c r="A873" s="1">
        <v>45839</v>
      </c>
      <c r="B873" t="s">
        <v>90</v>
      </c>
      <c r="C873" t="s">
        <v>36</v>
      </c>
      <c r="D873">
        <v>0.2</v>
      </c>
      <c r="E873">
        <v>8.73</v>
      </c>
      <c r="F873">
        <v>0</v>
      </c>
      <c r="G873">
        <v>0</v>
      </c>
      <c r="H873">
        <v>437</v>
      </c>
      <c r="I873">
        <v>69</v>
      </c>
    </row>
    <row r="874" spans="1:9" x14ac:dyDescent="0.3">
      <c r="A874" s="1">
        <v>45839</v>
      </c>
      <c r="B874" t="s">
        <v>93</v>
      </c>
      <c r="C874" t="s">
        <v>36</v>
      </c>
      <c r="D874">
        <v>0.16</v>
      </c>
      <c r="E874">
        <v>60.93</v>
      </c>
      <c r="F874">
        <v>0</v>
      </c>
      <c r="G874">
        <v>0</v>
      </c>
      <c r="H874">
        <v>3808</v>
      </c>
      <c r="I874">
        <v>70</v>
      </c>
    </row>
    <row r="875" spans="1:9" x14ac:dyDescent="0.3">
      <c r="A875" s="1">
        <v>45839</v>
      </c>
      <c r="B875" t="s">
        <v>99</v>
      </c>
      <c r="C875" t="s">
        <v>36</v>
      </c>
      <c r="D875">
        <v>0.13</v>
      </c>
      <c r="E875">
        <v>4.22</v>
      </c>
      <c r="F875">
        <v>0</v>
      </c>
      <c r="G875">
        <v>0</v>
      </c>
      <c r="H875">
        <v>325</v>
      </c>
      <c r="I875">
        <v>71</v>
      </c>
    </row>
    <row r="876" spans="1:9" x14ac:dyDescent="0.3">
      <c r="A876" s="1">
        <v>45839</v>
      </c>
      <c r="B876" t="s">
        <v>91</v>
      </c>
      <c r="C876" t="s">
        <v>36</v>
      </c>
      <c r="D876">
        <v>0.11</v>
      </c>
      <c r="E876">
        <v>7.7</v>
      </c>
      <c r="F876">
        <v>0</v>
      </c>
      <c r="G876">
        <v>0</v>
      </c>
      <c r="H876">
        <v>700</v>
      </c>
      <c r="I876">
        <v>72</v>
      </c>
    </row>
    <row r="877" spans="1:9" x14ac:dyDescent="0.3">
      <c r="A877" s="1">
        <v>45839</v>
      </c>
      <c r="B877" t="s">
        <v>101</v>
      </c>
      <c r="C877" t="s">
        <v>36</v>
      </c>
      <c r="D877">
        <v>0.11</v>
      </c>
      <c r="E877">
        <v>38.44</v>
      </c>
      <c r="F877">
        <v>0</v>
      </c>
      <c r="G877">
        <v>0</v>
      </c>
      <c r="H877">
        <v>3495</v>
      </c>
      <c r="I877">
        <v>72</v>
      </c>
    </row>
    <row r="878" spans="1:9" x14ac:dyDescent="0.3">
      <c r="A878" s="1">
        <v>45839</v>
      </c>
      <c r="B878" t="s">
        <v>117</v>
      </c>
      <c r="C878" t="s">
        <v>36</v>
      </c>
      <c r="D878">
        <v>0.11</v>
      </c>
      <c r="E878">
        <v>15.31</v>
      </c>
      <c r="F878">
        <v>0</v>
      </c>
      <c r="G878">
        <v>0</v>
      </c>
      <c r="H878">
        <v>1392</v>
      </c>
      <c r="I878">
        <v>72</v>
      </c>
    </row>
    <row r="879" spans="1:9" x14ac:dyDescent="0.3">
      <c r="A879" s="1">
        <v>45839</v>
      </c>
      <c r="B879" t="s">
        <v>96</v>
      </c>
      <c r="C879" t="s">
        <v>36</v>
      </c>
      <c r="D879">
        <v>0.1</v>
      </c>
      <c r="E879">
        <v>33.72</v>
      </c>
      <c r="F879">
        <v>0</v>
      </c>
      <c r="G879">
        <v>0</v>
      </c>
      <c r="H879">
        <v>3372</v>
      </c>
      <c r="I879">
        <v>75</v>
      </c>
    </row>
    <row r="880" spans="1:9" x14ac:dyDescent="0.3">
      <c r="A880" s="1">
        <v>45839</v>
      </c>
      <c r="B880" t="s">
        <v>92</v>
      </c>
      <c r="C880" t="s">
        <v>36</v>
      </c>
      <c r="D880">
        <v>0.08</v>
      </c>
      <c r="E880">
        <v>20.059999999999999</v>
      </c>
      <c r="F880">
        <v>0</v>
      </c>
      <c r="G880">
        <v>0</v>
      </c>
      <c r="H880">
        <v>2508</v>
      </c>
      <c r="I880">
        <v>76</v>
      </c>
    </row>
    <row r="881" spans="1:9" x14ac:dyDescent="0.3">
      <c r="A881" s="1">
        <v>45839</v>
      </c>
      <c r="B881" t="s">
        <v>95</v>
      </c>
      <c r="C881" t="s">
        <v>36</v>
      </c>
      <c r="D881">
        <v>7.0000000000000007E-2</v>
      </c>
      <c r="E881">
        <v>27.83</v>
      </c>
      <c r="F881">
        <v>0</v>
      </c>
      <c r="G881">
        <v>0</v>
      </c>
      <c r="H881">
        <v>3976</v>
      </c>
      <c r="I881">
        <v>77</v>
      </c>
    </row>
    <row r="882" spans="1:9" x14ac:dyDescent="0.3">
      <c r="A882" s="1">
        <v>45839</v>
      </c>
      <c r="B882" t="s">
        <v>118</v>
      </c>
      <c r="C882" t="s">
        <v>36</v>
      </c>
      <c r="D882">
        <v>7.0000000000000007E-2</v>
      </c>
      <c r="E882">
        <v>16.97</v>
      </c>
      <c r="F882">
        <v>0</v>
      </c>
      <c r="G882">
        <v>0</v>
      </c>
      <c r="H882">
        <v>2424</v>
      </c>
      <c r="I882">
        <v>77</v>
      </c>
    </row>
    <row r="883" spans="1:9" x14ac:dyDescent="0.3">
      <c r="A883" s="1">
        <v>45839</v>
      </c>
      <c r="B883" t="s">
        <v>103</v>
      </c>
      <c r="C883" t="s">
        <v>36</v>
      </c>
      <c r="D883">
        <v>0.04</v>
      </c>
      <c r="E883">
        <v>2.57</v>
      </c>
      <c r="F883">
        <v>0</v>
      </c>
      <c r="G883">
        <v>0</v>
      </c>
      <c r="H883">
        <v>643</v>
      </c>
      <c r="I883">
        <v>79</v>
      </c>
    </row>
    <row r="884" spans="1:9" x14ac:dyDescent="0.3">
      <c r="A884" s="1">
        <v>45839</v>
      </c>
      <c r="B884" t="s">
        <v>119</v>
      </c>
      <c r="C884" t="s">
        <v>36</v>
      </c>
      <c r="D884">
        <v>0.04</v>
      </c>
      <c r="E884">
        <v>3.27</v>
      </c>
      <c r="F884">
        <v>0</v>
      </c>
      <c r="G884">
        <v>0</v>
      </c>
      <c r="H884">
        <v>818</v>
      </c>
      <c r="I884">
        <v>79</v>
      </c>
    </row>
    <row r="885" spans="1:9" x14ac:dyDescent="0.3">
      <c r="A885" s="1">
        <v>45839</v>
      </c>
      <c r="B885" t="s">
        <v>120</v>
      </c>
      <c r="C885" t="s">
        <v>36</v>
      </c>
      <c r="D885">
        <v>0.02</v>
      </c>
      <c r="E885">
        <v>3.19</v>
      </c>
      <c r="F885">
        <v>0</v>
      </c>
      <c r="G885">
        <v>0</v>
      </c>
      <c r="H885">
        <v>1595</v>
      </c>
      <c r="I885">
        <v>81</v>
      </c>
    </row>
    <row r="886" spans="1:9" x14ac:dyDescent="0.3">
      <c r="A886" s="1">
        <v>45839</v>
      </c>
      <c r="B886" t="s">
        <v>116</v>
      </c>
      <c r="C886" t="s">
        <v>36</v>
      </c>
      <c r="D886">
        <v>0.02</v>
      </c>
      <c r="E886">
        <v>8.09</v>
      </c>
      <c r="F886">
        <v>0</v>
      </c>
      <c r="G886">
        <v>0</v>
      </c>
      <c r="H886">
        <v>4045</v>
      </c>
      <c r="I886">
        <v>81</v>
      </c>
    </row>
    <row r="887" spans="1:9" x14ac:dyDescent="0.3">
      <c r="A887" s="1">
        <v>45839</v>
      </c>
      <c r="B887" t="s">
        <v>121</v>
      </c>
      <c r="C887" t="s">
        <v>36</v>
      </c>
      <c r="D887">
        <v>0.02</v>
      </c>
      <c r="E887">
        <v>0.5</v>
      </c>
      <c r="F887">
        <v>0</v>
      </c>
      <c r="G887">
        <v>0</v>
      </c>
      <c r="H887">
        <v>250</v>
      </c>
      <c r="I887">
        <v>81</v>
      </c>
    </row>
    <row r="888" spans="1:9" x14ac:dyDescent="0.3">
      <c r="A888" s="1">
        <v>45839</v>
      </c>
      <c r="B888" t="s">
        <v>104</v>
      </c>
      <c r="C888" t="s">
        <v>36</v>
      </c>
      <c r="D888">
        <v>0.02</v>
      </c>
      <c r="E888">
        <v>7.28</v>
      </c>
      <c r="F888">
        <v>0</v>
      </c>
      <c r="G888">
        <v>0</v>
      </c>
      <c r="H888">
        <v>3640</v>
      </c>
      <c r="I888">
        <v>81</v>
      </c>
    </row>
    <row r="889" spans="1:9" x14ac:dyDescent="0.3">
      <c r="A889" s="1">
        <v>45870</v>
      </c>
      <c r="B889" t="s">
        <v>32</v>
      </c>
      <c r="C889" t="s">
        <v>32</v>
      </c>
      <c r="D889">
        <v>9152.5400000000009</v>
      </c>
      <c r="E889">
        <v>1199457.73</v>
      </c>
      <c r="F889">
        <v>45.74</v>
      </c>
      <c r="G889">
        <v>48.26</v>
      </c>
      <c r="H889">
        <v>1311</v>
      </c>
      <c r="I889">
        <v>1</v>
      </c>
    </row>
    <row r="890" spans="1:9" x14ac:dyDescent="0.3">
      <c r="A890" s="1">
        <v>45870</v>
      </c>
      <c r="B890" t="s">
        <v>33</v>
      </c>
      <c r="C890" t="s">
        <v>33</v>
      </c>
      <c r="D890">
        <v>7063.76</v>
      </c>
      <c r="E890">
        <v>883682.27</v>
      </c>
      <c r="F890">
        <v>35.299999999999997</v>
      </c>
      <c r="G890">
        <v>35.549999999999997</v>
      </c>
      <c r="H890">
        <v>1251</v>
      </c>
      <c r="I890">
        <v>2</v>
      </c>
    </row>
    <row r="891" spans="1:9" x14ac:dyDescent="0.3">
      <c r="A891" s="1">
        <v>45870</v>
      </c>
      <c r="B891" t="s">
        <v>34</v>
      </c>
      <c r="C891" t="s">
        <v>34</v>
      </c>
      <c r="D891">
        <v>1407.23</v>
      </c>
      <c r="E891">
        <v>143484.97</v>
      </c>
      <c r="F891">
        <v>7.03</v>
      </c>
      <c r="G891">
        <v>5.77</v>
      </c>
      <c r="H891">
        <v>1020</v>
      </c>
      <c r="I891">
        <v>3</v>
      </c>
    </row>
    <row r="892" spans="1:9" x14ac:dyDescent="0.3">
      <c r="A892" s="1">
        <v>45870</v>
      </c>
      <c r="B892" t="s">
        <v>37</v>
      </c>
      <c r="C892" t="s">
        <v>36</v>
      </c>
      <c r="D892">
        <v>504.45</v>
      </c>
      <c r="E892">
        <v>25396.91</v>
      </c>
      <c r="F892">
        <v>2.52</v>
      </c>
      <c r="G892">
        <v>1.02</v>
      </c>
      <c r="H892">
        <v>503</v>
      </c>
      <c r="I892">
        <v>4</v>
      </c>
    </row>
    <row r="893" spans="1:9" x14ac:dyDescent="0.3">
      <c r="A893" s="1">
        <v>45870</v>
      </c>
      <c r="B893" t="s">
        <v>47</v>
      </c>
      <c r="C893" t="s">
        <v>36</v>
      </c>
      <c r="D893">
        <v>256.64</v>
      </c>
      <c r="E893">
        <v>9290.2099999999991</v>
      </c>
      <c r="F893">
        <v>1.28</v>
      </c>
      <c r="G893">
        <v>0.37</v>
      </c>
      <c r="H893">
        <v>362</v>
      </c>
      <c r="I893">
        <v>5</v>
      </c>
    </row>
    <row r="894" spans="1:9" x14ac:dyDescent="0.3">
      <c r="A894" s="1">
        <v>45870</v>
      </c>
      <c r="B894" t="s">
        <v>35</v>
      </c>
      <c r="C894" t="s">
        <v>36</v>
      </c>
      <c r="D894">
        <v>150</v>
      </c>
      <c r="E894">
        <v>55756.24</v>
      </c>
      <c r="F894">
        <v>0.75</v>
      </c>
      <c r="G894">
        <v>2.2400000000000002</v>
      </c>
      <c r="H894">
        <v>3717</v>
      </c>
      <c r="I894">
        <v>6</v>
      </c>
    </row>
    <row r="895" spans="1:9" x14ac:dyDescent="0.3">
      <c r="A895" s="1">
        <v>45870</v>
      </c>
      <c r="B895" t="s">
        <v>40</v>
      </c>
      <c r="C895" t="s">
        <v>36</v>
      </c>
      <c r="D895">
        <v>135.65</v>
      </c>
      <c r="E895">
        <v>1708.85</v>
      </c>
      <c r="F895">
        <v>0.68</v>
      </c>
      <c r="G895">
        <v>7.0000000000000007E-2</v>
      </c>
      <c r="H895">
        <v>126</v>
      </c>
      <c r="I895">
        <v>7</v>
      </c>
    </row>
    <row r="896" spans="1:9" x14ac:dyDescent="0.3">
      <c r="A896" s="1">
        <v>45870</v>
      </c>
      <c r="B896" t="s">
        <v>38</v>
      </c>
      <c r="C896" t="s">
        <v>36</v>
      </c>
      <c r="D896">
        <v>135.13999999999999</v>
      </c>
      <c r="E896">
        <v>9812.52</v>
      </c>
      <c r="F896">
        <v>0.68</v>
      </c>
      <c r="G896">
        <v>0.39</v>
      </c>
      <c r="H896">
        <v>726</v>
      </c>
      <c r="I896">
        <v>8</v>
      </c>
    </row>
    <row r="897" spans="1:9" x14ac:dyDescent="0.3">
      <c r="A897" s="1">
        <v>45870</v>
      </c>
      <c r="B897" t="s">
        <v>46</v>
      </c>
      <c r="C897" t="s">
        <v>36</v>
      </c>
      <c r="D897">
        <v>100.17</v>
      </c>
      <c r="E897">
        <v>15002.68</v>
      </c>
      <c r="F897">
        <v>0.5</v>
      </c>
      <c r="G897">
        <v>0.6</v>
      </c>
      <c r="H897">
        <v>1498</v>
      </c>
      <c r="I897">
        <v>9</v>
      </c>
    </row>
    <row r="898" spans="1:9" x14ac:dyDescent="0.3">
      <c r="A898" s="1">
        <v>45870</v>
      </c>
      <c r="B898" t="s">
        <v>39</v>
      </c>
      <c r="C898" t="s">
        <v>36</v>
      </c>
      <c r="D898">
        <v>98.98</v>
      </c>
      <c r="E898">
        <v>10830.8</v>
      </c>
      <c r="F898">
        <v>0.49</v>
      </c>
      <c r="G898">
        <v>0.44</v>
      </c>
      <c r="H898">
        <v>1094</v>
      </c>
      <c r="I898">
        <v>10</v>
      </c>
    </row>
    <row r="899" spans="1:9" x14ac:dyDescent="0.3">
      <c r="A899" s="1">
        <v>45870</v>
      </c>
      <c r="B899" t="s">
        <v>42</v>
      </c>
      <c r="C899" t="s">
        <v>36</v>
      </c>
      <c r="D899">
        <v>78.209999999999994</v>
      </c>
      <c r="E899">
        <v>5583.34</v>
      </c>
      <c r="F899">
        <v>0.39</v>
      </c>
      <c r="G899">
        <v>0.22</v>
      </c>
      <c r="H899">
        <v>714</v>
      </c>
      <c r="I899">
        <v>11</v>
      </c>
    </row>
    <row r="900" spans="1:9" x14ac:dyDescent="0.3">
      <c r="A900" s="1">
        <v>45870</v>
      </c>
      <c r="B900" t="s">
        <v>41</v>
      </c>
      <c r="C900" t="s">
        <v>36</v>
      </c>
      <c r="D900">
        <v>75.8</v>
      </c>
      <c r="E900">
        <v>16589.759999999998</v>
      </c>
      <c r="F900">
        <v>0.38</v>
      </c>
      <c r="G900">
        <v>0.67</v>
      </c>
      <c r="H900">
        <v>2189</v>
      </c>
      <c r="I900">
        <v>12</v>
      </c>
    </row>
    <row r="901" spans="1:9" x14ac:dyDescent="0.3">
      <c r="A901" s="1">
        <v>45870</v>
      </c>
      <c r="B901" t="s">
        <v>44</v>
      </c>
      <c r="C901" t="s">
        <v>36</v>
      </c>
      <c r="D901">
        <v>72.86</v>
      </c>
      <c r="E901">
        <v>16120.19</v>
      </c>
      <c r="F901">
        <v>0.36</v>
      </c>
      <c r="G901">
        <v>0.65</v>
      </c>
      <c r="H901">
        <v>2212</v>
      </c>
      <c r="I901">
        <v>13</v>
      </c>
    </row>
    <row r="902" spans="1:9" x14ac:dyDescent="0.3">
      <c r="A902" s="1">
        <v>45870</v>
      </c>
      <c r="B902" t="s">
        <v>43</v>
      </c>
      <c r="C902" t="s">
        <v>36</v>
      </c>
      <c r="D902">
        <v>71.87</v>
      </c>
      <c r="E902">
        <v>8662.31</v>
      </c>
      <c r="F902">
        <v>0.36</v>
      </c>
      <c r="G902">
        <v>0.35</v>
      </c>
      <c r="H902">
        <v>1205</v>
      </c>
      <c r="I902">
        <v>14</v>
      </c>
    </row>
    <row r="903" spans="1:9" x14ac:dyDescent="0.3">
      <c r="A903" s="1">
        <v>45870</v>
      </c>
      <c r="B903" t="s">
        <v>45</v>
      </c>
      <c r="C903" t="s">
        <v>36</v>
      </c>
      <c r="D903">
        <v>54.33</v>
      </c>
      <c r="E903">
        <v>9428.15</v>
      </c>
      <c r="F903">
        <v>0.27</v>
      </c>
      <c r="G903">
        <v>0.38</v>
      </c>
      <c r="H903">
        <v>1735</v>
      </c>
      <c r="I903">
        <v>15</v>
      </c>
    </row>
    <row r="904" spans="1:9" x14ac:dyDescent="0.3">
      <c r="A904" s="1">
        <v>45870</v>
      </c>
      <c r="B904" t="s">
        <v>49</v>
      </c>
      <c r="C904" t="s">
        <v>36</v>
      </c>
      <c r="D904">
        <v>48.14</v>
      </c>
      <c r="E904">
        <v>6010.88</v>
      </c>
      <c r="F904">
        <v>0.24</v>
      </c>
      <c r="G904">
        <v>0.24</v>
      </c>
      <c r="H904">
        <v>1249</v>
      </c>
      <c r="I904">
        <v>16</v>
      </c>
    </row>
    <row r="905" spans="1:9" x14ac:dyDescent="0.3">
      <c r="A905" s="1">
        <v>45870</v>
      </c>
      <c r="B905" t="s">
        <v>65</v>
      </c>
      <c r="C905" t="s">
        <v>36</v>
      </c>
      <c r="D905">
        <v>44.53</v>
      </c>
      <c r="E905">
        <v>1694.22</v>
      </c>
      <c r="F905">
        <v>0.22</v>
      </c>
      <c r="G905">
        <v>7.0000000000000007E-2</v>
      </c>
      <c r="H905">
        <v>380</v>
      </c>
      <c r="I905">
        <v>17</v>
      </c>
    </row>
    <row r="906" spans="1:9" x14ac:dyDescent="0.3">
      <c r="A906" s="1">
        <v>45870</v>
      </c>
      <c r="B906" t="s">
        <v>48</v>
      </c>
      <c r="C906" t="s">
        <v>36</v>
      </c>
      <c r="D906">
        <v>21.4</v>
      </c>
      <c r="E906">
        <v>1650.42</v>
      </c>
      <c r="F906">
        <v>0.11</v>
      </c>
      <c r="G906">
        <v>7.0000000000000007E-2</v>
      </c>
      <c r="H906">
        <v>771</v>
      </c>
      <c r="I906">
        <v>18</v>
      </c>
    </row>
    <row r="907" spans="1:9" x14ac:dyDescent="0.3">
      <c r="A907" s="1">
        <v>45870</v>
      </c>
      <c r="B907" t="s">
        <v>53</v>
      </c>
      <c r="C907" t="s">
        <v>36</v>
      </c>
      <c r="D907">
        <v>20.75</v>
      </c>
      <c r="E907">
        <v>2716.15</v>
      </c>
      <c r="F907">
        <v>0.1</v>
      </c>
      <c r="G907">
        <v>0.11</v>
      </c>
      <c r="H907">
        <v>1309</v>
      </c>
      <c r="I907">
        <v>19</v>
      </c>
    </row>
    <row r="908" spans="1:9" x14ac:dyDescent="0.3">
      <c r="A908" s="1">
        <v>45870</v>
      </c>
      <c r="B908" t="s">
        <v>57</v>
      </c>
      <c r="C908" t="s">
        <v>36</v>
      </c>
      <c r="D908">
        <v>19.579999999999998</v>
      </c>
      <c r="E908">
        <v>1892.61</v>
      </c>
      <c r="F908">
        <v>0.1</v>
      </c>
      <c r="G908">
        <v>0.08</v>
      </c>
      <c r="H908">
        <v>967</v>
      </c>
      <c r="I908">
        <v>20</v>
      </c>
    </row>
    <row r="909" spans="1:9" x14ac:dyDescent="0.3">
      <c r="A909" s="1">
        <v>45870</v>
      </c>
      <c r="B909" t="s">
        <v>55</v>
      </c>
      <c r="C909" t="s">
        <v>36</v>
      </c>
      <c r="D909">
        <v>17.48</v>
      </c>
      <c r="E909">
        <v>2728.37</v>
      </c>
      <c r="F909">
        <v>0.09</v>
      </c>
      <c r="G909">
        <v>0.11</v>
      </c>
      <c r="H909">
        <v>1561</v>
      </c>
      <c r="I909">
        <v>21</v>
      </c>
    </row>
    <row r="910" spans="1:9" x14ac:dyDescent="0.3">
      <c r="A910" s="1">
        <v>45870</v>
      </c>
      <c r="B910" t="s">
        <v>50</v>
      </c>
      <c r="C910" t="s">
        <v>36</v>
      </c>
      <c r="D910">
        <v>13.01</v>
      </c>
      <c r="E910">
        <v>9001.8700000000008</v>
      </c>
      <c r="F910">
        <v>7.0000000000000007E-2</v>
      </c>
      <c r="G910">
        <v>0.36</v>
      </c>
      <c r="H910">
        <v>6919</v>
      </c>
      <c r="I910">
        <v>22</v>
      </c>
    </row>
    <row r="911" spans="1:9" x14ac:dyDescent="0.3">
      <c r="A911" s="1">
        <v>45870</v>
      </c>
      <c r="B911" t="s">
        <v>54</v>
      </c>
      <c r="C911" t="s">
        <v>36</v>
      </c>
      <c r="D911">
        <v>12.99</v>
      </c>
      <c r="E911">
        <v>3668.47</v>
      </c>
      <c r="F911">
        <v>0.06</v>
      </c>
      <c r="G911">
        <v>0.15</v>
      </c>
      <c r="H911">
        <v>2824</v>
      </c>
      <c r="I911">
        <v>23</v>
      </c>
    </row>
    <row r="912" spans="1:9" x14ac:dyDescent="0.3">
      <c r="A912" s="1">
        <v>45870</v>
      </c>
      <c r="B912" t="s">
        <v>52</v>
      </c>
      <c r="C912" t="s">
        <v>36</v>
      </c>
      <c r="D912">
        <v>11.63</v>
      </c>
      <c r="E912">
        <v>2456.88</v>
      </c>
      <c r="F912">
        <v>0.06</v>
      </c>
      <c r="G912">
        <v>0.1</v>
      </c>
      <c r="H912">
        <v>2113</v>
      </c>
      <c r="I912">
        <v>24</v>
      </c>
    </row>
    <row r="913" spans="1:9" x14ac:dyDescent="0.3">
      <c r="A913" s="1">
        <v>45870</v>
      </c>
      <c r="B913" t="s">
        <v>56</v>
      </c>
      <c r="C913" t="s">
        <v>36</v>
      </c>
      <c r="D913">
        <v>9.9</v>
      </c>
      <c r="E913">
        <v>682.42</v>
      </c>
      <c r="F913">
        <v>0.05</v>
      </c>
      <c r="G913">
        <v>0.03</v>
      </c>
      <c r="H913">
        <v>689</v>
      </c>
      <c r="I913">
        <v>25</v>
      </c>
    </row>
    <row r="914" spans="1:9" x14ac:dyDescent="0.3">
      <c r="A914" s="1">
        <v>45870</v>
      </c>
      <c r="B914" t="s">
        <v>67</v>
      </c>
      <c r="C914" t="s">
        <v>36</v>
      </c>
      <c r="D914">
        <v>9.2899999999999991</v>
      </c>
      <c r="E914">
        <v>1456.85</v>
      </c>
      <c r="F914">
        <v>0.05</v>
      </c>
      <c r="G914">
        <v>0.06</v>
      </c>
      <c r="H914">
        <v>1568</v>
      </c>
      <c r="I914">
        <v>26</v>
      </c>
    </row>
    <row r="915" spans="1:9" x14ac:dyDescent="0.3">
      <c r="A915" s="1">
        <v>45870</v>
      </c>
      <c r="B915" t="s">
        <v>58</v>
      </c>
      <c r="C915" t="s">
        <v>36</v>
      </c>
      <c r="D915">
        <v>6.55</v>
      </c>
      <c r="E915">
        <v>1295.01</v>
      </c>
      <c r="F915">
        <v>0.03</v>
      </c>
      <c r="G915">
        <v>0.05</v>
      </c>
      <c r="H915">
        <v>1977</v>
      </c>
      <c r="I915">
        <v>27</v>
      </c>
    </row>
    <row r="916" spans="1:9" x14ac:dyDescent="0.3">
      <c r="A916" s="1">
        <v>45870</v>
      </c>
      <c r="B916" t="s">
        <v>59</v>
      </c>
      <c r="C916" t="s">
        <v>36</v>
      </c>
      <c r="D916">
        <v>6.49</v>
      </c>
      <c r="E916">
        <v>998.01</v>
      </c>
      <c r="F916">
        <v>0.03</v>
      </c>
      <c r="G916">
        <v>0.04</v>
      </c>
      <c r="H916">
        <v>1538</v>
      </c>
      <c r="I916">
        <v>28</v>
      </c>
    </row>
    <row r="917" spans="1:9" x14ac:dyDescent="0.3">
      <c r="A917" s="1">
        <v>45870</v>
      </c>
      <c r="B917" t="s">
        <v>98</v>
      </c>
      <c r="C917" t="s">
        <v>36</v>
      </c>
      <c r="D917">
        <v>4.6900000000000004</v>
      </c>
      <c r="E917">
        <v>233.82</v>
      </c>
      <c r="F917">
        <v>0.02</v>
      </c>
      <c r="G917">
        <v>0.01</v>
      </c>
      <c r="H917">
        <v>499</v>
      </c>
      <c r="I917">
        <v>29</v>
      </c>
    </row>
    <row r="918" spans="1:9" x14ac:dyDescent="0.3">
      <c r="A918" s="1">
        <v>45870</v>
      </c>
      <c r="B918" t="s">
        <v>62</v>
      </c>
      <c r="C918" t="s">
        <v>36</v>
      </c>
      <c r="D918">
        <v>4.6500000000000004</v>
      </c>
      <c r="E918">
        <v>319.72000000000003</v>
      </c>
      <c r="F918">
        <v>0.02</v>
      </c>
      <c r="G918">
        <v>0.01</v>
      </c>
      <c r="H918">
        <v>688</v>
      </c>
      <c r="I918">
        <v>30</v>
      </c>
    </row>
    <row r="919" spans="1:9" x14ac:dyDescent="0.3">
      <c r="A919" s="1">
        <v>45870</v>
      </c>
      <c r="B919" t="s">
        <v>61</v>
      </c>
      <c r="C919" t="s">
        <v>36</v>
      </c>
      <c r="D919">
        <v>4.2699999999999996</v>
      </c>
      <c r="E919">
        <v>1028.07</v>
      </c>
      <c r="F919">
        <v>0.02</v>
      </c>
      <c r="G919">
        <v>0.04</v>
      </c>
      <c r="H919">
        <v>2408</v>
      </c>
      <c r="I919">
        <v>31</v>
      </c>
    </row>
    <row r="920" spans="1:9" x14ac:dyDescent="0.3">
      <c r="A920" s="1">
        <v>45870</v>
      </c>
      <c r="B920" t="s">
        <v>60</v>
      </c>
      <c r="C920" t="s">
        <v>36</v>
      </c>
      <c r="D920">
        <v>4.24</v>
      </c>
      <c r="E920">
        <v>774.19</v>
      </c>
      <c r="F920">
        <v>0.02</v>
      </c>
      <c r="G920">
        <v>0.03</v>
      </c>
      <c r="H920">
        <v>1826</v>
      </c>
      <c r="I920">
        <v>32</v>
      </c>
    </row>
    <row r="921" spans="1:9" x14ac:dyDescent="0.3">
      <c r="A921" s="1">
        <v>45870</v>
      </c>
      <c r="B921" t="s">
        <v>63</v>
      </c>
      <c r="C921" t="s">
        <v>36</v>
      </c>
      <c r="D921">
        <v>3.79</v>
      </c>
      <c r="E921">
        <v>964.86</v>
      </c>
      <c r="F921">
        <v>0.02</v>
      </c>
      <c r="G921">
        <v>0.04</v>
      </c>
      <c r="H921">
        <v>2546</v>
      </c>
      <c r="I921">
        <v>33</v>
      </c>
    </row>
    <row r="922" spans="1:9" x14ac:dyDescent="0.3">
      <c r="A922" s="1">
        <v>45870</v>
      </c>
      <c r="B922" t="s">
        <v>94</v>
      </c>
      <c r="C922" t="s">
        <v>36</v>
      </c>
      <c r="D922">
        <v>3.59</v>
      </c>
      <c r="E922">
        <v>198.74</v>
      </c>
      <c r="F922">
        <v>0.02</v>
      </c>
      <c r="G922">
        <v>0.01</v>
      </c>
      <c r="H922">
        <v>554</v>
      </c>
      <c r="I922">
        <v>34</v>
      </c>
    </row>
    <row r="923" spans="1:9" x14ac:dyDescent="0.3">
      <c r="A923" s="1">
        <v>45870</v>
      </c>
      <c r="B923" t="s">
        <v>51</v>
      </c>
      <c r="C923" t="s">
        <v>36</v>
      </c>
      <c r="D923">
        <v>3.46</v>
      </c>
      <c r="E923">
        <v>194.88</v>
      </c>
      <c r="F923">
        <v>0.02</v>
      </c>
      <c r="G923">
        <v>0.01</v>
      </c>
      <c r="H923">
        <v>563</v>
      </c>
      <c r="I923">
        <v>35</v>
      </c>
    </row>
    <row r="924" spans="1:9" x14ac:dyDescent="0.3">
      <c r="A924" s="1">
        <v>45870</v>
      </c>
      <c r="B924" t="s">
        <v>66</v>
      </c>
      <c r="C924" t="s">
        <v>36</v>
      </c>
      <c r="D924">
        <v>2.98</v>
      </c>
      <c r="E924">
        <v>43.77</v>
      </c>
      <c r="F924">
        <v>0.01</v>
      </c>
      <c r="G924">
        <v>0</v>
      </c>
      <c r="H924">
        <v>147</v>
      </c>
      <c r="I924">
        <v>36</v>
      </c>
    </row>
    <row r="925" spans="1:9" x14ac:dyDescent="0.3">
      <c r="A925" s="1">
        <v>45870</v>
      </c>
      <c r="B925" t="s">
        <v>108</v>
      </c>
      <c r="C925" t="s">
        <v>36</v>
      </c>
      <c r="D925">
        <v>2.77</v>
      </c>
      <c r="E925">
        <v>391.19</v>
      </c>
      <c r="F925">
        <v>0.01</v>
      </c>
      <c r="G925">
        <v>0.02</v>
      </c>
      <c r="H925">
        <v>1412</v>
      </c>
      <c r="I925">
        <v>37</v>
      </c>
    </row>
    <row r="926" spans="1:9" x14ac:dyDescent="0.3">
      <c r="A926" s="1">
        <v>45870</v>
      </c>
      <c r="B926" t="s">
        <v>82</v>
      </c>
      <c r="C926" t="s">
        <v>36</v>
      </c>
      <c r="D926">
        <v>2.69</v>
      </c>
      <c r="E926">
        <v>305.39</v>
      </c>
      <c r="F926">
        <v>0.01</v>
      </c>
      <c r="G926">
        <v>0.01</v>
      </c>
      <c r="H926">
        <v>1135</v>
      </c>
      <c r="I926">
        <v>38</v>
      </c>
    </row>
    <row r="927" spans="1:9" x14ac:dyDescent="0.3">
      <c r="A927" s="1">
        <v>45870</v>
      </c>
      <c r="B927" t="s">
        <v>81</v>
      </c>
      <c r="C927" t="s">
        <v>36</v>
      </c>
      <c r="D927">
        <v>2.61</v>
      </c>
      <c r="E927">
        <v>159.27000000000001</v>
      </c>
      <c r="F927">
        <v>0.01</v>
      </c>
      <c r="G927">
        <v>0.01</v>
      </c>
      <c r="H927">
        <v>610</v>
      </c>
      <c r="I927">
        <v>39</v>
      </c>
    </row>
    <row r="928" spans="1:9" x14ac:dyDescent="0.3">
      <c r="A928" s="1">
        <v>45870</v>
      </c>
      <c r="B928" t="s">
        <v>71</v>
      </c>
      <c r="C928" t="s">
        <v>36</v>
      </c>
      <c r="D928">
        <v>2.4700000000000002</v>
      </c>
      <c r="E928">
        <v>334.59</v>
      </c>
      <c r="F928">
        <v>0.01</v>
      </c>
      <c r="G928">
        <v>0.01</v>
      </c>
      <c r="H928">
        <v>1355</v>
      </c>
      <c r="I928">
        <v>40</v>
      </c>
    </row>
    <row r="929" spans="1:9" x14ac:dyDescent="0.3">
      <c r="A929" s="1">
        <v>45870</v>
      </c>
      <c r="B929" t="s">
        <v>69</v>
      </c>
      <c r="C929" t="s">
        <v>36</v>
      </c>
      <c r="D929">
        <v>2.39</v>
      </c>
      <c r="E929">
        <v>508.85</v>
      </c>
      <c r="F929">
        <v>0.01</v>
      </c>
      <c r="G929">
        <v>0.02</v>
      </c>
      <c r="H929">
        <v>2129</v>
      </c>
      <c r="I929">
        <v>41</v>
      </c>
    </row>
    <row r="930" spans="1:9" x14ac:dyDescent="0.3">
      <c r="A930" s="1">
        <v>45870</v>
      </c>
      <c r="B930" t="s">
        <v>115</v>
      </c>
      <c r="C930" t="s">
        <v>36</v>
      </c>
      <c r="D930">
        <v>2.15</v>
      </c>
      <c r="E930">
        <v>758.73</v>
      </c>
      <c r="F930">
        <v>0.01</v>
      </c>
      <c r="G930">
        <v>0.03</v>
      </c>
      <c r="H930">
        <v>3529</v>
      </c>
      <c r="I930">
        <v>42</v>
      </c>
    </row>
    <row r="931" spans="1:9" x14ac:dyDescent="0.3">
      <c r="A931" s="1">
        <v>45870</v>
      </c>
      <c r="B931" t="s">
        <v>80</v>
      </c>
      <c r="C931" t="s">
        <v>36</v>
      </c>
      <c r="D931">
        <v>1.91</v>
      </c>
      <c r="E931">
        <v>238.35</v>
      </c>
      <c r="F931">
        <v>0.01</v>
      </c>
      <c r="G931">
        <v>0.01</v>
      </c>
      <c r="H931">
        <v>1248</v>
      </c>
      <c r="I931">
        <v>43</v>
      </c>
    </row>
    <row r="932" spans="1:9" x14ac:dyDescent="0.3">
      <c r="A932" s="1">
        <v>45870</v>
      </c>
      <c r="B932" t="s">
        <v>68</v>
      </c>
      <c r="C932" t="s">
        <v>36</v>
      </c>
      <c r="D932">
        <v>1.82</v>
      </c>
      <c r="E932">
        <v>113.4</v>
      </c>
      <c r="F932">
        <v>0.01</v>
      </c>
      <c r="G932">
        <v>0</v>
      </c>
      <c r="H932">
        <v>623</v>
      </c>
      <c r="I932">
        <v>44</v>
      </c>
    </row>
    <row r="933" spans="1:9" x14ac:dyDescent="0.3">
      <c r="A933" s="1">
        <v>45870</v>
      </c>
      <c r="B933" t="s">
        <v>83</v>
      </c>
      <c r="C933" t="s">
        <v>36</v>
      </c>
      <c r="D933">
        <v>1.46</v>
      </c>
      <c r="E933">
        <v>111.94</v>
      </c>
      <c r="F933">
        <v>0.01</v>
      </c>
      <c r="G933">
        <v>0</v>
      </c>
      <c r="H933">
        <v>767</v>
      </c>
      <c r="I933">
        <v>45</v>
      </c>
    </row>
    <row r="934" spans="1:9" x14ac:dyDescent="0.3">
      <c r="A934" s="1">
        <v>45870</v>
      </c>
      <c r="B934" t="s">
        <v>64</v>
      </c>
      <c r="C934" t="s">
        <v>36</v>
      </c>
      <c r="D934">
        <v>1.26</v>
      </c>
      <c r="E934">
        <v>281.52999999999997</v>
      </c>
      <c r="F934">
        <v>0.01</v>
      </c>
      <c r="G934">
        <v>0.01</v>
      </c>
      <c r="H934">
        <v>2234</v>
      </c>
      <c r="I934">
        <v>46</v>
      </c>
    </row>
    <row r="935" spans="1:9" x14ac:dyDescent="0.3">
      <c r="A935" s="1">
        <v>45870</v>
      </c>
      <c r="B935" t="s">
        <v>76</v>
      </c>
      <c r="C935" t="s">
        <v>36</v>
      </c>
      <c r="D935">
        <v>1.21</v>
      </c>
      <c r="E935">
        <v>151.55000000000001</v>
      </c>
      <c r="F935">
        <v>0.01</v>
      </c>
      <c r="G935">
        <v>0.01</v>
      </c>
      <c r="H935">
        <v>1252</v>
      </c>
      <c r="I935">
        <v>47</v>
      </c>
    </row>
    <row r="936" spans="1:9" x14ac:dyDescent="0.3">
      <c r="A936" s="1">
        <v>45870</v>
      </c>
      <c r="B936" t="s">
        <v>79</v>
      </c>
      <c r="C936" t="s">
        <v>36</v>
      </c>
      <c r="D936">
        <v>1.1000000000000001</v>
      </c>
      <c r="E936">
        <v>365.04</v>
      </c>
      <c r="F936">
        <v>0.01</v>
      </c>
      <c r="G936">
        <v>0.01</v>
      </c>
      <c r="H936">
        <v>3319</v>
      </c>
      <c r="I936">
        <v>48</v>
      </c>
    </row>
    <row r="937" spans="1:9" x14ac:dyDescent="0.3">
      <c r="A937" s="1">
        <v>45870</v>
      </c>
      <c r="B937" t="s">
        <v>112</v>
      </c>
      <c r="C937" t="s">
        <v>36</v>
      </c>
      <c r="D937">
        <v>1.03</v>
      </c>
      <c r="E937">
        <v>74.94</v>
      </c>
      <c r="F937">
        <v>0.01</v>
      </c>
      <c r="G937">
        <v>0</v>
      </c>
      <c r="H937">
        <v>728</v>
      </c>
      <c r="I937">
        <v>49</v>
      </c>
    </row>
    <row r="938" spans="1:9" x14ac:dyDescent="0.3">
      <c r="A938" s="1">
        <v>45870</v>
      </c>
      <c r="B938" t="s">
        <v>74</v>
      </c>
      <c r="C938" t="s">
        <v>36</v>
      </c>
      <c r="D938">
        <v>0.9</v>
      </c>
      <c r="E938">
        <v>248.87</v>
      </c>
      <c r="F938">
        <v>0</v>
      </c>
      <c r="G938">
        <v>0.01</v>
      </c>
      <c r="H938">
        <v>2765</v>
      </c>
      <c r="I938">
        <v>50</v>
      </c>
    </row>
    <row r="939" spans="1:9" x14ac:dyDescent="0.3">
      <c r="A939" s="1">
        <v>45870</v>
      </c>
      <c r="B939" t="s">
        <v>73</v>
      </c>
      <c r="C939" t="s">
        <v>36</v>
      </c>
      <c r="D939">
        <v>0.84</v>
      </c>
      <c r="E939">
        <v>259.85000000000002</v>
      </c>
      <c r="F939">
        <v>0</v>
      </c>
      <c r="G939">
        <v>0.01</v>
      </c>
      <c r="H939">
        <v>3093</v>
      </c>
      <c r="I939">
        <v>51</v>
      </c>
    </row>
    <row r="940" spans="1:9" x14ac:dyDescent="0.3">
      <c r="A940" s="1">
        <v>45870</v>
      </c>
      <c r="B940" t="s">
        <v>100</v>
      </c>
      <c r="C940" t="s">
        <v>36</v>
      </c>
      <c r="D940">
        <v>0.76</v>
      </c>
      <c r="E940">
        <v>884.64</v>
      </c>
      <c r="F940">
        <v>0</v>
      </c>
      <c r="G940">
        <v>0.04</v>
      </c>
      <c r="H940">
        <v>11640</v>
      </c>
      <c r="I940">
        <v>52</v>
      </c>
    </row>
    <row r="941" spans="1:9" x14ac:dyDescent="0.3">
      <c r="A941" s="1">
        <v>45870</v>
      </c>
      <c r="B941" t="s">
        <v>75</v>
      </c>
      <c r="C941" t="s">
        <v>36</v>
      </c>
      <c r="D941">
        <v>0.75</v>
      </c>
      <c r="E941">
        <v>252.29</v>
      </c>
      <c r="F941">
        <v>0</v>
      </c>
      <c r="G941">
        <v>0.01</v>
      </c>
      <c r="H941">
        <v>3364</v>
      </c>
      <c r="I941">
        <v>53</v>
      </c>
    </row>
    <row r="942" spans="1:9" x14ac:dyDescent="0.3">
      <c r="A942" s="1">
        <v>45870</v>
      </c>
      <c r="B942" t="s">
        <v>114</v>
      </c>
      <c r="C942" t="s">
        <v>36</v>
      </c>
      <c r="D942">
        <v>0.71</v>
      </c>
      <c r="E942">
        <v>60.21</v>
      </c>
      <c r="F942">
        <v>0</v>
      </c>
      <c r="G942">
        <v>0</v>
      </c>
      <c r="H942">
        <v>848</v>
      </c>
      <c r="I942">
        <v>54</v>
      </c>
    </row>
    <row r="943" spans="1:9" x14ac:dyDescent="0.3">
      <c r="A943" s="1">
        <v>45870</v>
      </c>
      <c r="B943" t="s">
        <v>70</v>
      </c>
      <c r="C943" t="s">
        <v>36</v>
      </c>
      <c r="D943">
        <v>0.71</v>
      </c>
      <c r="E943">
        <v>161.41999999999999</v>
      </c>
      <c r="F943">
        <v>0</v>
      </c>
      <c r="G943">
        <v>0.01</v>
      </c>
      <c r="H943">
        <v>2274</v>
      </c>
      <c r="I943">
        <v>54</v>
      </c>
    </row>
    <row r="944" spans="1:9" x14ac:dyDescent="0.3">
      <c r="A944" s="1">
        <v>45870</v>
      </c>
      <c r="B944" t="s">
        <v>77</v>
      </c>
      <c r="C944" t="s">
        <v>36</v>
      </c>
      <c r="D944">
        <v>0.69</v>
      </c>
      <c r="E944">
        <v>68.05</v>
      </c>
      <c r="F944">
        <v>0</v>
      </c>
      <c r="G944">
        <v>0</v>
      </c>
      <c r="H944">
        <v>986</v>
      </c>
      <c r="I944">
        <v>56</v>
      </c>
    </row>
    <row r="945" spans="1:9" x14ac:dyDescent="0.3">
      <c r="A945" s="1">
        <v>45870</v>
      </c>
      <c r="B945" t="s">
        <v>78</v>
      </c>
      <c r="C945" t="s">
        <v>36</v>
      </c>
      <c r="D945">
        <v>0.68</v>
      </c>
      <c r="E945">
        <v>208.06</v>
      </c>
      <c r="F945">
        <v>0</v>
      </c>
      <c r="G945">
        <v>0.01</v>
      </c>
      <c r="H945">
        <v>3060</v>
      </c>
      <c r="I945">
        <v>57</v>
      </c>
    </row>
    <row r="946" spans="1:9" x14ac:dyDescent="0.3">
      <c r="A946" s="1">
        <v>45870</v>
      </c>
      <c r="B946" t="s">
        <v>109</v>
      </c>
      <c r="C946" t="s">
        <v>36</v>
      </c>
      <c r="D946">
        <v>0.59</v>
      </c>
      <c r="E946">
        <v>63.66</v>
      </c>
      <c r="F946">
        <v>0</v>
      </c>
      <c r="G946">
        <v>0</v>
      </c>
      <c r="H946">
        <v>1079</v>
      </c>
      <c r="I946">
        <v>58</v>
      </c>
    </row>
    <row r="947" spans="1:9" x14ac:dyDescent="0.3">
      <c r="A947" s="1">
        <v>45870</v>
      </c>
      <c r="B947" t="s">
        <v>84</v>
      </c>
      <c r="C947" t="s">
        <v>36</v>
      </c>
      <c r="D947">
        <v>0.53</v>
      </c>
      <c r="E947">
        <v>130.16</v>
      </c>
      <c r="F947">
        <v>0</v>
      </c>
      <c r="G947">
        <v>0.01</v>
      </c>
      <c r="H947">
        <v>2456</v>
      </c>
      <c r="I947">
        <v>59</v>
      </c>
    </row>
    <row r="948" spans="1:9" x14ac:dyDescent="0.3">
      <c r="A948" s="1">
        <v>45870</v>
      </c>
      <c r="B948" t="s">
        <v>102</v>
      </c>
      <c r="C948" t="s">
        <v>36</v>
      </c>
      <c r="D948">
        <v>0.53</v>
      </c>
      <c r="E948">
        <v>24.31</v>
      </c>
      <c r="F948">
        <v>0</v>
      </c>
      <c r="G948">
        <v>0</v>
      </c>
      <c r="H948">
        <v>459</v>
      </c>
      <c r="I948">
        <v>59</v>
      </c>
    </row>
    <row r="949" spans="1:9" x14ac:dyDescent="0.3">
      <c r="A949" s="1">
        <v>45870</v>
      </c>
      <c r="B949" t="s">
        <v>85</v>
      </c>
      <c r="C949" t="s">
        <v>36</v>
      </c>
      <c r="D949">
        <v>0.52</v>
      </c>
      <c r="E949">
        <v>155.47</v>
      </c>
      <c r="F949">
        <v>0</v>
      </c>
      <c r="G949">
        <v>0.01</v>
      </c>
      <c r="H949">
        <v>2990</v>
      </c>
      <c r="I949">
        <v>61</v>
      </c>
    </row>
    <row r="950" spans="1:9" x14ac:dyDescent="0.3">
      <c r="A950" s="1">
        <v>45870</v>
      </c>
      <c r="B950" t="s">
        <v>72</v>
      </c>
      <c r="C950" t="s">
        <v>36</v>
      </c>
      <c r="D950">
        <v>0.42</v>
      </c>
      <c r="E950">
        <v>28.13</v>
      </c>
      <c r="F950">
        <v>0</v>
      </c>
      <c r="G950">
        <v>0</v>
      </c>
      <c r="H950">
        <v>670</v>
      </c>
      <c r="I950">
        <v>62</v>
      </c>
    </row>
    <row r="951" spans="1:9" x14ac:dyDescent="0.3">
      <c r="A951" s="1">
        <v>45870</v>
      </c>
      <c r="B951" t="s">
        <v>89</v>
      </c>
      <c r="C951" t="s">
        <v>36</v>
      </c>
      <c r="D951">
        <v>0.3</v>
      </c>
      <c r="E951">
        <v>93.6</v>
      </c>
      <c r="F951">
        <v>0</v>
      </c>
      <c r="G951">
        <v>0</v>
      </c>
      <c r="H951">
        <v>3120</v>
      </c>
      <c r="I951">
        <v>63</v>
      </c>
    </row>
    <row r="952" spans="1:9" x14ac:dyDescent="0.3">
      <c r="A952" s="1">
        <v>45870</v>
      </c>
      <c r="B952" t="s">
        <v>113</v>
      </c>
      <c r="C952" t="s">
        <v>36</v>
      </c>
      <c r="D952">
        <v>0.3</v>
      </c>
      <c r="E952">
        <v>26.1</v>
      </c>
      <c r="F952">
        <v>0</v>
      </c>
      <c r="G952">
        <v>0</v>
      </c>
      <c r="H952">
        <v>870</v>
      </c>
      <c r="I952">
        <v>63</v>
      </c>
    </row>
    <row r="953" spans="1:9" x14ac:dyDescent="0.3">
      <c r="A953" s="1">
        <v>45870</v>
      </c>
      <c r="B953" t="s">
        <v>88</v>
      </c>
      <c r="C953" t="s">
        <v>36</v>
      </c>
      <c r="D953">
        <v>0.27</v>
      </c>
      <c r="E953">
        <v>60.71</v>
      </c>
      <c r="F953">
        <v>0</v>
      </c>
      <c r="G953">
        <v>0</v>
      </c>
      <c r="H953">
        <v>2249</v>
      </c>
      <c r="I953">
        <v>65</v>
      </c>
    </row>
    <row r="954" spans="1:9" x14ac:dyDescent="0.3">
      <c r="A954" s="1">
        <v>45870</v>
      </c>
      <c r="B954" t="s">
        <v>86</v>
      </c>
      <c r="C954" t="s">
        <v>36</v>
      </c>
      <c r="D954">
        <v>0.26</v>
      </c>
      <c r="E954">
        <v>64.38</v>
      </c>
      <c r="F954">
        <v>0</v>
      </c>
      <c r="G954">
        <v>0</v>
      </c>
      <c r="H954">
        <v>2476</v>
      </c>
      <c r="I954">
        <v>66</v>
      </c>
    </row>
    <row r="955" spans="1:9" x14ac:dyDescent="0.3">
      <c r="A955" s="1">
        <v>45870</v>
      </c>
      <c r="B955" t="s">
        <v>87</v>
      </c>
      <c r="C955" t="s">
        <v>36</v>
      </c>
      <c r="D955">
        <v>0.26</v>
      </c>
      <c r="E955">
        <v>123.33</v>
      </c>
      <c r="F955">
        <v>0</v>
      </c>
      <c r="G955">
        <v>0</v>
      </c>
      <c r="H955">
        <v>4743</v>
      </c>
      <c r="I955">
        <v>66</v>
      </c>
    </row>
    <row r="956" spans="1:9" x14ac:dyDescent="0.3">
      <c r="A956" s="1">
        <v>45870</v>
      </c>
      <c r="B956" t="s">
        <v>97</v>
      </c>
      <c r="C956" t="s">
        <v>36</v>
      </c>
      <c r="D956">
        <v>0.24</v>
      </c>
      <c r="E956">
        <v>25</v>
      </c>
      <c r="F956">
        <v>0</v>
      </c>
      <c r="G956">
        <v>0</v>
      </c>
      <c r="H956">
        <v>1042</v>
      </c>
      <c r="I956">
        <v>68</v>
      </c>
    </row>
    <row r="957" spans="1:9" x14ac:dyDescent="0.3">
      <c r="A957" s="1">
        <v>45870</v>
      </c>
      <c r="B957" t="s">
        <v>90</v>
      </c>
      <c r="C957" t="s">
        <v>36</v>
      </c>
      <c r="D957">
        <v>0.22</v>
      </c>
      <c r="E957">
        <v>9.85</v>
      </c>
      <c r="F957">
        <v>0</v>
      </c>
      <c r="G957">
        <v>0</v>
      </c>
      <c r="H957">
        <v>448</v>
      </c>
      <c r="I957">
        <v>69</v>
      </c>
    </row>
    <row r="958" spans="1:9" x14ac:dyDescent="0.3">
      <c r="A958" s="1">
        <v>45870</v>
      </c>
      <c r="B958" t="s">
        <v>93</v>
      </c>
      <c r="C958" t="s">
        <v>36</v>
      </c>
      <c r="D958">
        <v>0.17</v>
      </c>
      <c r="E958">
        <v>67.08</v>
      </c>
      <c r="F958">
        <v>0</v>
      </c>
      <c r="G958">
        <v>0</v>
      </c>
      <c r="H958">
        <v>3946</v>
      </c>
      <c r="I958">
        <v>70</v>
      </c>
    </row>
    <row r="959" spans="1:9" x14ac:dyDescent="0.3">
      <c r="A959" s="1">
        <v>45870</v>
      </c>
      <c r="B959" t="s">
        <v>99</v>
      </c>
      <c r="C959" t="s">
        <v>36</v>
      </c>
      <c r="D959">
        <v>0.15</v>
      </c>
      <c r="E959">
        <v>4.9000000000000004</v>
      </c>
      <c r="F959">
        <v>0</v>
      </c>
      <c r="G959">
        <v>0</v>
      </c>
      <c r="H959">
        <v>327</v>
      </c>
      <c r="I959">
        <v>71</v>
      </c>
    </row>
    <row r="960" spans="1:9" x14ac:dyDescent="0.3">
      <c r="A960" s="1">
        <v>45870</v>
      </c>
      <c r="B960" t="s">
        <v>117</v>
      </c>
      <c r="C960" t="s">
        <v>36</v>
      </c>
      <c r="D960">
        <v>0.11</v>
      </c>
      <c r="E960">
        <v>16.77</v>
      </c>
      <c r="F960">
        <v>0</v>
      </c>
      <c r="G960">
        <v>0</v>
      </c>
      <c r="H960">
        <v>1525</v>
      </c>
      <c r="I960">
        <v>72</v>
      </c>
    </row>
    <row r="961" spans="1:9" x14ac:dyDescent="0.3">
      <c r="A961" s="1">
        <v>45870</v>
      </c>
      <c r="B961" t="s">
        <v>101</v>
      </c>
      <c r="C961" t="s">
        <v>36</v>
      </c>
      <c r="D961">
        <v>0.11</v>
      </c>
      <c r="E961">
        <v>38.33</v>
      </c>
      <c r="F961">
        <v>0</v>
      </c>
      <c r="G961">
        <v>0</v>
      </c>
      <c r="H961">
        <v>3485</v>
      </c>
      <c r="I961">
        <v>72</v>
      </c>
    </row>
    <row r="962" spans="1:9" x14ac:dyDescent="0.3">
      <c r="A962" s="1">
        <v>45870</v>
      </c>
      <c r="B962" t="s">
        <v>91</v>
      </c>
      <c r="C962" t="s">
        <v>36</v>
      </c>
      <c r="D962">
        <v>0.1</v>
      </c>
      <c r="E962">
        <v>7.48</v>
      </c>
      <c r="F962">
        <v>0</v>
      </c>
      <c r="G962">
        <v>0</v>
      </c>
      <c r="H962">
        <v>748</v>
      </c>
      <c r="I962">
        <v>74</v>
      </c>
    </row>
    <row r="963" spans="1:9" x14ac:dyDescent="0.3">
      <c r="A963" s="1">
        <v>45870</v>
      </c>
      <c r="B963" t="s">
        <v>96</v>
      </c>
      <c r="C963" t="s">
        <v>36</v>
      </c>
      <c r="D963">
        <v>0.1</v>
      </c>
      <c r="E963">
        <v>33.36</v>
      </c>
      <c r="F963">
        <v>0</v>
      </c>
      <c r="G963">
        <v>0</v>
      </c>
      <c r="H963">
        <v>3336</v>
      </c>
      <c r="I963">
        <v>74</v>
      </c>
    </row>
    <row r="964" spans="1:9" x14ac:dyDescent="0.3">
      <c r="A964" s="1">
        <v>45870</v>
      </c>
      <c r="B964" t="s">
        <v>92</v>
      </c>
      <c r="C964" t="s">
        <v>36</v>
      </c>
      <c r="D964">
        <v>0.09</v>
      </c>
      <c r="E964">
        <v>22.11</v>
      </c>
      <c r="F964">
        <v>0</v>
      </c>
      <c r="G964">
        <v>0</v>
      </c>
      <c r="H964">
        <v>2457</v>
      </c>
      <c r="I964">
        <v>76</v>
      </c>
    </row>
    <row r="965" spans="1:9" x14ac:dyDescent="0.3">
      <c r="A965" s="1">
        <v>45870</v>
      </c>
      <c r="B965" t="s">
        <v>95</v>
      </c>
      <c r="C965" t="s">
        <v>36</v>
      </c>
      <c r="D965">
        <v>7.0000000000000007E-2</v>
      </c>
      <c r="E965">
        <v>28.22</v>
      </c>
      <c r="F965">
        <v>0</v>
      </c>
      <c r="G965">
        <v>0</v>
      </c>
      <c r="H965">
        <v>4031</v>
      </c>
      <c r="I965">
        <v>77</v>
      </c>
    </row>
    <row r="966" spans="1:9" x14ac:dyDescent="0.3">
      <c r="A966" s="1">
        <v>45870</v>
      </c>
      <c r="B966" t="s">
        <v>118</v>
      </c>
      <c r="C966" t="s">
        <v>36</v>
      </c>
      <c r="D966">
        <v>7.0000000000000007E-2</v>
      </c>
      <c r="E966">
        <v>19.760000000000002</v>
      </c>
      <c r="F966">
        <v>0</v>
      </c>
      <c r="G966">
        <v>0</v>
      </c>
      <c r="H966">
        <v>2823</v>
      </c>
      <c r="I966">
        <v>77</v>
      </c>
    </row>
    <row r="967" spans="1:9" x14ac:dyDescent="0.3">
      <c r="A967" s="1">
        <v>45870</v>
      </c>
      <c r="B967" t="s">
        <v>119</v>
      </c>
      <c r="C967" t="s">
        <v>36</v>
      </c>
      <c r="D967">
        <v>0.04</v>
      </c>
      <c r="E967">
        <v>4</v>
      </c>
      <c r="F967">
        <v>0</v>
      </c>
      <c r="G967">
        <v>0</v>
      </c>
      <c r="H967">
        <v>1000</v>
      </c>
      <c r="I967">
        <v>79</v>
      </c>
    </row>
    <row r="968" spans="1:9" x14ac:dyDescent="0.3">
      <c r="A968" s="1">
        <v>45870</v>
      </c>
      <c r="B968" t="s">
        <v>121</v>
      </c>
      <c r="C968" t="s">
        <v>36</v>
      </c>
      <c r="D968">
        <v>0.04</v>
      </c>
      <c r="E968">
        <v>1.1399999999999999</v>
      </c>
      <c r="F968">
        <v>0</v>
      </c>
      <c r="G968">
        <v>0</v>
      </c>
      <c r="H968">
        <v>285</v>
      </c>
      <c r="I968">
        <v>79</v>
      </c>
    </row>
    <row r="969" spans="1:9" x14ac:dyDescent="0.3">
      <c r="A969" s="1">
        <v>45870</v>
      </c>
      <c r="B969" t="s">
        <v>103</v>
      </c>
      <c r="C969" t="s">
        <v>36</v>
      </c>
      <c r="D969">
        <v>0.04</v>
      </c>
      <c r="E969">
        <v>2.4300000000000002</v>
      </c>
      <c r="F969">
        <v>0</v>
      </c>
      <c r="G969">
        <v>0</v>
      </c>
      <c r="H969">
        <v>608</v>
      </c>
      <c r="I969">
        <v>79</v>
      </c>
    </row>
    <row r="970" spans="1:9" x14ac:dyDescent="0.3">
      <c r="A970" s="1">
        <v>45870</v>
      </c>
      <c r="B970" t="s">
        <v>120</v>
      </c>
      <c r="C970" t="s">
        <v>36</v>
      </c>
      <c r="D970">
        <v>0.03</v>
      </c>
      <c r="E970">
        <v>4.18</v>
      </c>
      <c r="F970">
        <v>0</v>
      </c>
      <c r="G970">
        <v>0</v>
      </c>
      <c r="H970">
        <v>1393</v>
      </c>
      <c r="I970">
        <v>82</v>
      </c>
    </row>
    <row r="971" spans="1:9" x14ac:dyDescent="0.3">
      <c r="A971" s="1">
        <v>45870</v>
      </c>
      <c r="B971" t="s">
        <v>104</v>
      </c>
      <c r="C971" t="s">
        <v>36</v>
      </c>
      <c r="D971">
        <v>0.02</v>
      </c>
      <c r="E971">
        <v>6.63</v>
      </c>
      <c r="F971">
        <v>0</v>
      </c>
      <c r="G971">
        <v>0</v>
      </c>
      <c r="H971">
        <v>3315</v>
      </c>
      <c r="I971">
        <v>83</v>
      </c>
    </row>
    <row r="972" spans="1:9" x14ac:dyDescent="0.3">
      <c r="A972" s="1">
        <v>45901</v>
      </c>
      <c r="B972" t="s">
        <v>32</v>
      </c>
      <c r="C972" t="s">
        <v>32</v>
      </c>
      <c r="D972">
        <v>8961.7800000000007</v>
      </c>
      <c r="E972">
        <v>1203787.9099999999</v>
      </c>
      <c r="F972">
        <v>45.65</v>
      </c>
      <c r="G972">
        <v>48.35</v>
      </c>
      <c r="H972">
        <v>1343</v>
      </c>
      <c r="I972">
        <v>1</v>
      </c>
    </row>
    <row r="973" spans="1:9" x14ac:dyDescent="0.3">
      <c r="A973" s="1">
        <v>45901</v>
      </c>
      <c r="B973" t="s">
        <v>33</v>
      </c>
      <c r="C973" t="s">
        <v>33</v>
      </c>
      <c r="D973">
        <v>6832.93</v>
      </c>
      <c r="E973">
        <v>873639.91</v>
      </c>
      <c r="F973">
        <v>34.799999999999997</v>
      </c>
      <c r="G973">
        <v>35.090000000000003</v>
      </c>
      <c r="H973">
        <v>1279</v>
      </c>
      <c r="I973">
        <v>2</v>
      </c>
    </row>
    <row r="974" spans="1:9" x14ac:dyDescent="0.3">
      <c r="A974" s="1">
        <v>45901</v>
      </c>
      <c r="B974" t="s">
        <v>34</v>
      </c>
      <c r="C974" t="s">
        <v>34</v>
      </c>
      <c r="D974">
        <v>1394.07</v>
      </c>
      <c r="E974">
        <v>145134.78</v>
      </c>
      <c r="F974">
        <v>7.1</v>
      </c>
      <c r="G974">
        <v>5.83</v>
      </c>
      <c r="H974">
        <v>1041</v>
      </c>
      <c r="I974">
        <v>3</v>
      </c>
    </row>
    <row r="975" spans="1:9" x14ac:dyDescent="0.3">
      <c r="A975" s="1">
        <v>45901</v>
      </c>
      <c r="B975" t="s">
        <v>37</v>
      </c>
      <c r="C975" t="s">
        <v>36</v>
      </c>
      <c r="D975">
        <v>526.02</v>
      </c>
      <c r="E975">
        <v>26510.97</v>
      </c>
      <c r="F975">
        <v>2.68</v>
      </c>
      <c r="G975">
        <v>1.06</v>
      </c>
      <c r="H975">
        <v>504</v>
      </c>
      <c r="I975">
        <v>4</v>
      </c>
    </row>
    <row r="976" spans="1:9" x14ac:dyDescent="0.3">
      <c r="A976" s="1">
        <v>45901</v>
      </c>
      <c r="B976" t="s">
        <v>47</v>
      </c>
      <c r="C976" t="s">
        <v>36</v>
      </c>
      <c r="D976">
        <v>256.33999999999997</v>
      </c>
      <c r="E976">
        <v>9852.44</v>
      </c>
      <c r="F976">
        <v>1.31</v>
      </c>
      <c r="G976">
        <v>0.4</v>
      </c>
      <c r="H976">
        <v>384</v>
      </c>
      <c r="I976">
        <v>5</v>
      </c>
    </row>
    <row r="977" spans="1:9" x14ac:dyDescent="0.3">
      <c r="A977" s="1">
        <v>45901</v>
      </c>
      <c r="B977" t="s">
        <v>38</v>
      </c>
      <c r="C977" t="s">
        <v>36</v>
      </c>
      <c r="D977">
        <v>158.05000000000001</v>
      </c>
      <c r="E977">
        <v>14911.36</v>
      </c>
      <c r="F977">
        <v>0.81</v>
      </c>
      <c r="G977">
        <v>0.6</v>
      </c>
      <c r="H977">
        <v>943</v>
      </c>
      <c r="I977">
        <v>6</v>
      </c>
    </row>
    <row r="978" spans="1:9" x14ac:dyDescent="0.3">
      <c r="A978" s="1">
        <v>45901</v>
      </c>
      <c r="B978" t="s">
        <v>35</v>
      </c>
      <c r="C978" t="s">
        <v>36</v>
      </c>
      <c r="D978">
        <v>147.86000000000001</v>
      </c>
      <c r="E978">
        <v>54796.41</v>
      </c>
      <c r="F978">
        <v>0.75</v>
      </c>
      <c r="G978">
        <v>2.2000000000000002</v>
      </c>
      <c r="H978">
        <v>3706</v>
      </c>
      <c r="I978">
        <v>7</v>
      </c>
    </row>
    <row r="979" spans="1:9" x14ac:dyDescent="0.3">
      <c r="A979" s="1">
        <v>45901</v>
      </c>
      <c r="B979" t="s">
        <v>40</v>
      </c>
      <c r="C979" t="s">
        <v>36</v>
      </c>
      <c r="D979">
        <v>140.01</v>
      </c>
      <c r="E979">
        <v>1751.77</v>
      </c>
      <c r="F979">
        <v>0.71</v>
      </c>
      <c r="G979">
        <v>7.0000000000000007E-2</v>
      </c>
      <c r="H979">
        <v>125</v>
      </c>
      <c r="I979">
        <v>8</v>
      </c>
    </row>
    <row r="980" spans="1:9" x14ac:dyDescent="0.3">
      <c r="A980" s="1">
        <v>45901</v>
      </c>
      <c r="B980" t="s">
        <v>46</v>
      </c>
      <c r="C980" t="s">
        <v>36</v>
      </c>
      <c r="D980">
        <v>110.84</v>
      </c>
      <c r="E980">
        <v>16273.38</v>
      </c>
      <c r="F980">
        <v>0.56000000000000005</v>
      </c>
      <c r="G980">
        <v>0.65</v>
      </c>
      <c r="H980">
        <v>1468</v>
      </c>
      <c r="I980">
        <v>9</v>
      </c>
    </row>
    <row r="981" spans="1:9" x14ac:dyDescent="0.3">
      <c r="A981" s="1">
        <v>45901</v>
      </c>
      <c r="B981" t="s">
        <v>39</v>
      </c>
      <c r="C981" t="s">
        <v>36</v>
      </c>
      <c r="D981">
        <v>91.4</v>
      </c>
      <c r="E981">
        <v>10234.84</v>
      </c>
      <c r="F981">
        <v>0.47</v>
      </c>
      <c r="G981">
        <v>0.41</v>
      </c>
      <c r="H981">
        <v>1120</v>
      </c>
      <c r="I981">
        <v>10</v>
      </c>
    </row>
    <row r="982" spans="1:9" x14ac:dyDescent="0.3">
      <c r="A982" s="1">
        <v>45901</v>
      </c>
      <c r="B982" t="s">
        <v>42</v>
      </c>
      <c r="C982" t="s">
        <v>36</v>
      </c>
      <c r="D982">
        <v>79.75</v>
      </c>
      <c r="E982">
        <v>5768.86</v>
      </c>
      <c r="F982">
        <v>0.41</v>
      </c>
      <c r="G982">
        <v>0.23</v>
      </c>
      <c r="H982">
        <v>723</v>
      </c>
      <c r="I982">
        <v>11</v>
      </c>
    </row>
    <row r="983" spans="1:9" x14ac:dyDescent="0.3">
      <c r="A983" s="1">
        <v>45901</v>
      </c>
      <c r="B983" t="s">
        <v>43</v>
      </c>
      <c r="C983" t="s">
        <v>36</v>
      </c>
      <c r="D983">
        <v>75.459999999999994</v>
      </c>
      <c r="E983">
        <v>9168.77</v>
      </c>
      <c r="F983">
        <v>0.38</v>
      </c>
      <c r="G983">
        <v>0.37</v>
      </c>
      <c r="H983">
        <v>1215</v>
      </c>
      <c r="I983">
        <v>12</v>
      </c>
    </row>
    <row r="984" spans="1:9" x14ac:dyDescent="0.3">
      <c r="A984" s="1">
        <v>45901</v>
      </c>
      <c r="B984" t="s">
        <v>44</v>
      </c>
      <c r="C984" t="s">
        <v>36</v>
      </c>
      <c r="D984">
        <v>74.599999999999994</v>
      </c>
      <c r="E984">
        <v>16420.63</v>
      </c>
      <c r="F984">
        <v>0.38</v>
      </c>
      <c r="G984">
        <v>0.66</v>
      </c>
      <c r="H984">
        <v>2201</v>
      </c>
      <c r="I984">
        <v>13</v>
      </c>
    </row>
    <row r="985" spans="1:9" x14ac:dyDescent="0.3">
      <c r="A985" s="1">
        <v>45901</v>
      </c>
      <c r="B985" t="s">
        <v>41</v>
      </c>
      <c r="C985" t="s">
        <v>36</v>
      </c>
      <c r="D985">
        <v>74.099999999999994</v>
      </c>
      <c r="E985">
        <v>16624.59</v>
      </c>
      <c r="F985">
        <v>0.38</v>
      </c>
      <c r="G985">
        <v>0.67</v>
      </c>
      <c r="H985">
        <v>2244</v>
      </c>
      <c r="I985">
        <v>14</v>
      </c>
    </row>
    <row r="986" spans="1:9" x14ac:dyDescent="0.3">
      <c r="A986" s="1">
        <v>45901</v>
      </c>
      <c r="B986" t="s">
        <v>65</v>
      </c>
      <c r="C986" t="s">
        <v>36</v>
      </c>
      <c r="D986">
        <v>51.61</v>
      </c>
      <c r="E986">
        <v>1953.68</v>
      </c>
      <c r="F986">
        <v>0.26</v>
      </c>
      <c r="G986">
        <v>0.08</v>
      </c>
      <c r="H986">
        <v>379</v>
      </c>
      <c r="I986">
        <v>15</v>
      </c>
    </row>
    <row r="987" spans="1:9" x14ac:dyDescent="0.3">
      <c r="A987" s="1">
        <v>45901</v>
      </c>
      <c r="B987" t="s">
        <v>45</v>
      </c>
      <c r="C987" t="s">
        <v>36</v>
      </c>
      <c r="D987">
        <v>47.75</v>
      </c>
      <c r="E987">
        <v>6758.44</v>
      </c>
      <c r="F987">
        <v>0.24</v>
      </c>
      <c r="G987">
        <v>0.27</v>
      </c>
      <c r="H987">
        <v>1415</v>
      </c>
      <c r="I987">
        <v>16</v>
      </c>
    </row>
    <row r="988" spans="1:9" x14ac:dyDescent="0.3">
      <c r="A988" s="1">
        <v>45901</v>
      </c>
      <c r="B988" t="s">
        <v>49</v>
      </c>
      <c r="C988" t="s">
        <v>36</v>
      </c>
      <c r="D988">
        <v>46.95</v>
      </c>
      <c r="E988">
        <v>5761.51</v>
      </c>
      <c r="F988">
        <v>0.24</v>
      </c>
      <c r="G988">
        <v>0.23</v>
      </c>
      <c r="H988">
        <v>1227</v>
      </c>
      <c r="I988">
        <v>17</v>
      </c>
    </row>
    <row r="989" spans="1:9" x14ac:dyDescent="0.3">
      <c r="A989" s="1">
        <v>45901</v>
      </c>
      <c r="B989" t="s">
        <v>53</v>
      </c>
      <c r="C989" t="s">
        <v>36</v>
      </c>
      <c r="D989">
        <v>22.62</v>
      </c>
      <c r="E989">
        <v>3014.8</v>
      </c>
      <c r="F989">
        <v>0.12</v>
      </c>
      <c r="G989">
        <v>0.12</v>
      </c>
      <c r="H989">
        <v>1333</v>
      </c>
      <c r="I989">
        <v>18</v>
      </c>
    </row>
    <row r="990" spans="1:9" x14ac:dyDescent="0.3">
      <c r="A990" s="1">
        <v>45901</v>
      </c>
      <c r="B990" t="s">
        <v>48</v>
      </c>
      <c r="C990" t="s">
        <v>36</v>
      </c>
      <c r="D990">
        <v>17.34</v>
      </c>
      <c r="E990">
        <v>1290.54</v>
      </c>
      <c r="F990">
        <v>0.09</v>
      </c>
      <c r="G990">
        <v>0.05</v>
      </c>
      <c r="H990">
        <v>744</v>
      </c>
      <c r="I990">
        <v>19</v>
      </c>
    </row>
    <row r="991" spans="1:9" x14ac:dyDescent="0.3">
      <c r="A991" s="1">
        <v>45901</v>
      </c>
      <c r="B991" t="s">
        <v>57</v>
      </c>
      <c r="C991" t="s">
        <v>36</v>
      </c>
      <c r="D991">
        <v>16.809999999999999</v>
      </c>
      <c r="E991">
        <v>1625.33</v>
      </c>
      <c r="F991">
        <v>0.09</v>
      </c>
      <c r="G991">
        <v>7.0000000000000007E-2</v>
      </c>
      <c r="H991">
        <v>967</v>
      </c>
      <c r="I991">
        <v>20</v>
      </c>
    </row>
    <row r="992" spans="1:9" x14ac:dyDescent="0.3">
      <c r="A992" s="1">
        <v>45901</v>
      </c>
      <c r="B992" t="s">
        <v>98</v>
      </c>
      <c r="C992" t="s">
        <v>36</v>
      </c>
      <c r="D992">
        <v>16.07</v>
      </c>
      <c r="E992">
        <v>1357.79</v>
      </c>
      <c r="F992">
        <v>0.08</v>
      </c>
      <c r="G992">
        <v>0.05</v>
      </c>
      <c r="H992">
        <v>845</v>
      </c>
      <c r="I992">
        <v>21</v>
      </c>
    </row>
    <row r="993" spans="1:9" x14ac:dyDescent="0.3">
      <c r="A993" s="1">
        <v>45901</v>
      </c>
      <c r="B993" t="s">
        <v>50</v>
      </c>
      <c r="C993" t="s">
        <v>36</v>
      </c>
      <c r="D993">
        <v>14.17</v>
      </c>
      <c r="E993">
        <v>10098.51</v>
      </c>
      <c r="F993">
        <v>7.0000000000000007E-2</v>
      </c>
      <c r="G993">
        <v>0.41</v>
      </c>
      <c r="H993">
        <v>7127</v>
      </c>
      <c r="I993">
        <v>22</v>
      </c>
    </row>
    <row r="994" spans="1:9" x14ac:dyDescent="0.3">
      <c r="A994" s="1">
        <v>45901</v>
      </c>
      <c r="B994" t="s">
        <v>55</v>
      </c>
      <c r="C994" t="s">
        <v>36</v>
      </c>
      <c r="D994">
        <v>13.14</v>
      </c>
      <c r="E994">
        <v>2718.78</v>
      </c>
      <c r="F994">
        <v>7.0000000000000007E-2</v>
      </c>
      <c r="G994">
        <v>0.11</v>
      </c>
      <c r="H994">
        <v>2069</v>
      </c>
      <c r="I994">
        <v>23</v>
      </c>
    </row>
    <row r="995" spans="1:9" x14ac:dyDescent="0.3">
      <c r="A995" s="1">
        <v>45901</v>
      </c>
      <c r="B995" t="s">
        <v>54</v>
      </c>
      <c r="C995" t="s">
        <v>36</v>
      </c>
      <c r="D995">
        <v>12.18</v>
      </c>
      <c r="E995">
        <v>3614.58</v>
      </c>
      <c r="F995">
        <v>0.06</v>
      </c>
      <c r="G995">
        <v>0.15</v>
      </c>
      <c r="H995">
        <v>2968</v>
      </c>
      <c r="I995">
        <v>24</v>
      </c>
    </row>
    <row r="996" spans="1:9" x14ac:dyDescent="0.3">
      <c r="A996" s="1">
        <v>45901</v>
      </c>
      <c r="B996" t="s">
        <v>52</v>
      </c>
      <c r="C996" t="s">
        <v>36</v>
      </c>
      <c r="D996">
        <v>12.01</v>
      </c>
      <c r="E996">
        <v>2520.3000000000002</v>
      </c>
      <c r="F996">
        <v>0.06</v>
      </c>
      <c r="G996">
        <v>0.1</v>
      </c>
      <c r="H996">
        <v>2099</v>
      </c>
      <c r="I996">
        <v>25</v>
      </c>
    </row>
    <row r="997" spans="1:9" x14ac:dyDescent="0.3">
      <c r="A997" s="1">
        <v>45901</v>
      </c>
      <c r="B997" t="s">
        <v>56</v>
      </c>
      <c r="C997" t="s">
        <v>36</v>
      </c>
      <c r="D997">
        <v>9.9</v>
      </c>
      <c r="E997">
        <v>676.36</v>
      </c>
      <c r="F997">
        <v>0.05</v>
      </c>
      <c r="G997">
        <v>0.03</v>
      </c>
      <c r="H997">
        <v>683</v>
      </c>
      <c r="I997">
        <v>26</v>
      </c>
    </row>
    <row r="998" spans="1:9" x14ac:dyDescent="0.3">
      <c r="A998" s="1">
        <v>45901</v>
      </c>
      <c r="B998" t="s">
        <v>67</v>
      </c>
      <c r="C998" t="s">
        <v>36</v>
      </c>
      <c r="D998">
        <v>7.92</v>
      </c>
      <c r="E998">
        <v>1546.1</v>
      </c>
      <c r="F998">
        <v>0.04</v>
      </c>
      <c r="G998">
        <v>0.06</v>
      </c>
      <c r="H998">
        <v>1952</v>
      </c>
      <c r="I998">
        <v>27</v>
      </c>
    </row>
    <row r="999" spans="1:9" x14ac:dyDescent="0.3">
      <c r="A999" s="1">
        <v>45901</v>
      </c>
      <c r="B999" t="s">
        <v>58</v>
      </c>
      <c r="C999" t="s">
        <v>36</v>
      </c>
      <c r="D999">
        <v>6.61</v>
      </c>
      <c r="E999">
        <v>1330.79</v>
      </c>
      <c r="F999">
        <v>0.03</v>
      </c>
      <c r="G999">
        <v>0.05</v>
      </c>
      <c r="H999">
        <v>2013</v>
      </c>
      <c r="I999">
        <v>28</v>
      </c>
    </row>
    <row r="1000" spans="1:9" x14ac:dyDescent="0.3">
      <c r="A1000" s="1">
        <v>45901</v>
      </c>
      <c r="B1000" t="s">
        <v>59</v>
      </c>
      <c r="C1000" t="s">
        <v>36</v>
      </c>
      <c r="D1000">
        <v>6.06</v>
      </c>
      <c r="E1000">
        <v>958.38</v>
      </c>
      <c r="F1000">
        <v>0.03</v>
      </c>
      <c r="G1000">
        <v>0.04</v>
      </c>
      <c r="H1000">
        <v>1581</v>
      </c>
      <c r="I1000">
        <v>29</v>
      </c>
    </row>
    <row r="1001" spans="1:9" x14ac:dyDescent="0.3">
      <c r="A1001" s="1">
        <v>45901</v>
      </c>
      <c r="B1001" t="s">
        <v>62</v>
      </c>
      <c r="C1001" t="s">
        <v>36</v>
      </c>
      <c r="D1001">
        <v>5</v>
      </c>
      <c r="E1001">
        <v>344.89</v>
      </c>
      <c r="F1001">
        <v>0.03</v>
      </c>
      <c r="G1001">
        <v>0.01</v>
      </c>
      <c r="H1001">
        <v>690</v>
      </c>
      <c r="I1001">
        <v>30</v>
      </c>
    </row>
    <row r="1002" spans="1:9" x14ac:dyDescent="0.3">
      <c r="A1002" s="1">
        <v>45901</v>
      </c>
      <c r="B1002" t="s">
        <v>60</v>
      </c>
      <c r="C1002" t="s">
        <v>36</v>
      </c>
      <c r="D1002">
        <v>4.63</v>
      </c>
      <c r="E1002">
        <v>765.38</v>
      </c>
      <c r="F1002">
        <v>0.02</v>
      </c>
      <c r="G1002">
        <v>0.03</v>
      </c>
      <c r="H1002">
        <v>1653</v>
      </c>
      <c r="I1002">
        <v>31</v>
      </c>
    </row>
    <row r="1003" spans="1:9" x14ac:dyDescent="0.3">
      <c r="A1003" s="1">
        <v>45901</v>
      </c>
      <c r="B1003" t="s">
        <v>61</v>
      </c>
      <c r="C1003" t="s">
        <v>36</v>
      </c>
      <c r="D1003">
        <v>4.2699999999999996</v>
      </c>
      <c r="E1003">
        <v>1049.05</v>
      </c>
      <c r="F1003">
        <v>0.02</v>
      </c>
      <c r="G1003">
        <v>0.04</v>
      </c>
      <c r="H1003">
        <v>2457</v>
      </c>
      <c r="I1003">
        <v>32</v>
      </c>
    </row>
    <row r="1004" spans="1:9" x14ac:dyDescent="0.3">
      <c r="A1004" s="1">
        <v>45901</v>
      </c>
      <c r="B1004" t="s">
        <v>63</v>
      </c>
      <c r="C1004" t="s">
        <v>36</v>
      </c>
      <c r="D1004">
        <v>3.88</v>
      </c>
      <c r="E1004">
        <v>983.32</v>
      </c>
      <c r="F1004">
        <v>0.02</v>
      </c>
      <c r="G1004">
        <v>0.04</v>
      </c>
      <c r="H1004">
        <v>2534</v>
      </c>
      <c r="I1004">
        <v>33</v>
      </c>
    </row>
    <row r="1005" spans="1:9" x14ac:dyDescent="0.3">
      <c r="A1005" s="1">
        <v>45901</v>
      </c>
      <c r="B1005" t="s">
        <v>51</v>
      </c>
      <c r="C1005" t="s">
        <v>36</v>
      </c>
      <c r="D1005">
        <v>3.58</v>
      </c>
      <c r="E1005">
        <v>263.48</v>
      </c>
      <c r="F1005">
        <v>0.02</v>
      </c>
      <c r="G1005">
        <v>0.01</v>
      </c>
      <c r="H1005">
        <v>736</v>
      </c>
      <c r="I1005">
        <v>34</v>
      </c>
    </row>
    <row r="1006" spans="1:9" x14ac:dyDescent="0.3">
      <c r="A1006" s="1">
        <v>45901</v>
      </c>
      <c r="B1006" t="s">
        <v>66</v>
      </c>
      <c r="C1006" t="s">
        <v>36</v>
      </c>
      <c r="D1006">
        <v>2.98</v>
      </c>
      <c r="E1006">
        <v>41.89</v>
      </c>
      <c r="F1006">
        <v>0.02</v>
      </c>
      <c r="G1006">
        <v>0</v>
      </c>
      <c r="H1006">
        <v>141</v>
      </c>
      <c r="I1006">
        <v>35</v>
      </c>
    </row>
    <row r="1007" spans="1:9" x14ac:dyDescent="0.3">
      <c r="A1007" s="1">
        <v>45901</v>
      </c>
      <c r="B1007" t="s">
        <v>108</v>
      </c>
      <c r="C1007" t="s">
        <v>36</v>
      </c>
      <c r="D1007">
        <v>2.66</v>
      </c>
      <c r="E1007">
        <v>382.26</v>
      </c>
      <c r="F1007">
        <v>0.01</v>
      </c>
      <c r="G1007">
        <v>0.02</v>
      </c>
      <c r="H1007">
        <v>1437</v>
      </c>
      <c r="I1007">
        <v>36</v>
      </c>
    </row>
    <row r="1008" spans="1:9" x14ac:dyDescent="0.3">
      <c r="A1008" s="1">
        <v>45901</v>
      </c>
      <c r="B1008" t="s">
        <v>115</v>
      </c>
      <c r="C1008" t="s">
        <v>36</v>
      </c>
      <c r="D1008">
        <v>2.61</v>
      </c>
      <c r="E1008">
        <v>870.13</v>
      </c>
      <c r="F1008">
        <v>0.01</v>
      </c>
      <c r="G1008">
        <v>0.03</v>
      </c>
      <c r="H1008">
        <v>3334</v>
      </c>
      <c r="I1008">
        <v>37</v>
      </c>
    </row>
    <row r="1009" spans="1:9" x14ac:dyDescent="0.3">
      <c r="A1009" s="1">
        <v>45901</v>
      </c>
      <c r="B1009" t="s">
        <v>69</v>
      </c>
      <c r="C1009" t="s">
        <v>36</v>
      </c>
      <c r="D1009">
        <v>2.59</v>
      </c>
      <c r="E1009">
        <v>611.74</v>
      </c>
      <c r="F1009">
        <v>0.01</v>
      </c>
      <c r="G1009">
        <v>0.02</v>
      </c>
      <c r="H1009">
        <v>2362</v>
      </c>
      <c r="I1009">
        <v>38</v>
      </c>
    </row>
    <row r="1010" spans="1:9" x14ac:dyDescent="0.3">
      <c r="A1010" s="1">
        <v>45901</v>
      </c>
      <c r="B1010" t="s">
        <v>82</v>
      </c>
      <c r="C1010" t="s">
        <v>36</v>
      </c>
      <c r="D1010">
        <v>2.5</v>
      </c>
      <c r="E1010">
        <v>306.62</v>
      </c>
      <c r="F1010">
        <v>0.01</v>
      </c>
      <c r="G1010">
        <v>0.01</v>
      </c>
      <c r="H1010">
        <v>1226</v>
      </c>
      <c r="I1010">
        <v>39</v>
      </c>
    </row>
    <row r="1011" spans="1:9" x14ac:dyDescent="0.3">
      <c r="A1011" s="1">
        <v>45901</v>
      </c>
      <c r="B1011" t="s">
        <v>71</v>
      </c>
      <c r="C1011" t="s">
        <v>36</v>
      </c>
      <c r="D1011">
        <v>2.38</v>
      </c>
      <c r="E1011">
        <v>348.51</v>
      </c>
      <c r="F1011">
        <v>0.01</v>
      </c>
      <c r="G1011">
        <v>0.01</v>
      </c>
      <c r="H1011">
        <v>1464</v>
      </c>
      <c r="I1011">
        <v>40</v>
      </c>
    </row>
    <row r="1012" spans="1:9" x14ac:dyDescent="0.3">
      <c r="A1012" s="1">
        <v>45901</v>
      </c>
      <c r="B1012" t="s">
        <v>94</v>
      </c>
      <c r="C1012" t="s">
        <v>36</v>
      </c>
      <c r="D1012">
        <v>2.0499999999999998</v>
      </c>
      <c r="E1012">
        <v>216.31</v>
      </c>
      <c r="F1012">
        <v>0.01</v>
      </c>
      <c r="G1012">
        <v>0.01</v>
      </c>
      <c r="H1012">
        <v>1055</v>
      </c>
      <c r="I1012">
        <v>41</v>
      </c>
    </row>
    <row r="1013" spans="1:9" x14ac:dyDescent="0.3">
      <c r="A1013" s="1">
        <v>45901</v>
      </c>
      <c r="B1013" t="s">
        <v>68</v>
      </c>
      <c r="C1013" t="s">
        <v>36</v>
      </c>
      <c r="D1013">
        <v>1.86</v>
      </c>
      <c r="E1013">
        <v>118.22</v>
      </c>
      <c r="F1013">
        <v>0.01</v>
      </c>
      <c r="G1013">
        <v>0</v>
      </c>
      <c r="H1013">
        <v>636</v>
      </c>
      <c r="I1013">
        <v>42</v>
      </c>
    </row>
    <row r="1014" spans="1:9" x14ac:dyDescent="0.3">
      <c r="A1014" s="1">
        <v>45901</v>
      </c>
      <c r="B1014" t="s">
        <v>81</v>
      </c>
      <c r="C1014" t="s">
        <v>36</v>
      </c>
      <c r="D1014">
        <v>1.81</v>
      </c>
      <c r="E1014">
        <v>136.08000000000001</v>
      </c>
      <c r="F1014">
        <v>0.01</v>
      </c>
      <c r="G1014">
        <v>0.01</v>
      </c>
      <c r="H1014">
        <v>752</v>
      </c>
      <c r="I1014">
        <v>43</v>
      </c>
    </row>
    <row r="1015" spans="1:9" x14ac:dyDescent="0.3">
      <c r="A1015" s="1">
        <v>45901</v>
      </c>
      <c r="B1015" t="s">
        <v>83</v>
      </c>
      <c r="C1015" t="s">
        <v>36</v>
      </c>
      <c r="D1015">
        <v>1.68</v>
      </c>
      <c r="E1015">
        <v>13.47</v>
      </c>
      <c r="F1015">
        <v>0.01</v>
      </c>
      <c r="G1015">
        <v>0</v>
      </c>
      <c r="H1015">
        <v>80</v>
      </c>
      <c r="I1015">
        <v>44</v>
      </c>
    </row>
    <row r="1016" spans="1:9" x14ac:dyDescent="0.3">
      <c r="A1016" s="1">
        <v>45901</v>
      </c>
      <c r="B1016" t="s">
        <v>80</v>
      </c>
      <c r="C1016" t="s">
        <v>36</v>
      </c>
      <c r="D1016">
        <v>1.67</v>
      </c>
      <c r="E1016">
        <v>222.41</v>
      </c>
      <c r="F1016">
        <v>0.01</v>
      </c>
      <c r="G1016">
        <v>0.01</v>
      </c>
      <c r="H1016">
        <v>1332</v>
      </c>
      <c r="I1016">
        <v>45</v>
      </c>
    </row>
    <row r="1017" spans="1:9" x14ac:dyDescent="0.3">
      <c r="A1017" s="1">
        <v>45901</v>
      </c>
      <c r="B1017" t="s">
        <v>64</v>
      </c>
      <c r="C1017" t="s">
        <v>36</v>
      </c>
      <c r="D1017">
        <v>1.38</v>
      </c>
      <c r="E1017">
        <v>316.14</v>
      </c>
      <c r="F1017">
        <v>0.01</v>
      </c>
      <c r="G1017">
        <v>0.01</v>
      </c>
      <c r="H1017">
        <v>2291</v>
      </c>
      <c r="I1017">
        <v>46</v>
      </c>
    </row>
    <row r="1018" spans="1:9" x14ac:dyDescent="0.3">
      <c r="A1018" s="1">
        <v>45901</v>
      </c>
      <c r="B1018" t="s">
        <v>76</v>
      </c>
      <c r="C1018" t="s">
        <v>36</v>
      </c>
      <c r="D1018">
        <v>1.22</v>
      </c>
      <c r="E1018">
        <v>145.88999999999999</v>
      </c>
      <c r="F1018">
        <v>0.01</v>
      </c>
      <c r="G1018">
        <v>0.01</v>
      </c>
      <c r="H1018">
        <v>1196</v>
      </c>
      <c r="I1018">
        <v>47</v>
      </c>
    </row>
    <row r="1019" spans="1:9" x14ac:dyDescent="0.3">
      <c r="A1019" s="1">
        <v>45901</v>
      </c>
      <c r="B1019" t="s">
        <v>112</v>
      </c>
      <c r="C1019" t="s">
        <v>36</v>
      </c>
      <c r="D1019">
        <v>1.0900000000000001</v>
      </c>
      <c r="E1019">
        <v>87.15</v>
      </c>
      <c r="F1019">
        <v>0.01</v>
      </c>
      <c r="G1019">
        <v>0</v>
      </c>
      <c r="H1019">
        <v>800</v>
      </c>
      <c r="I1019">
        <v>48</v>
      </c>
    </row>
    <row r="1020" spans="1:9" x14ac:dyDescent="0.3">
      <c r="A1020" s="1">
        <v>45901</v>
      </c>
      <c r="B1020" t="s">
        <v>79</v>
      </c>
      <c r="C1020" t="s">
        <v>36</v>
      </c>
      <c r="D1020">
        <v>1.05</v>
      </c>
      <c r="E1020">
        <v>352.31</v>
      </c>
      <c r="F1020">
        <v>0.01</v>
      </c>
      <c r="G1020">
        <v>0.01</v>
      </c>
      <c r="H1020">
        <v>3355</v>
      </c>
      <c r="I1020">
        <v>49</v>
      </c>
    </row>
    <row r="1021" spans="1:9" x14ac:dyDescent="0.3">
      <c r="A1021" s="1">
        <v>45901</v>
      </c>
      <c r="B1021" t="s">
        <v>74</v>
      </c>
      <c r="C1021" t="s">
        <v>36</v>
      </c>
      <c r="D1021">
        <v>0.86</v>
      </c>
      <c r="E1021">
        <v>248.26</v>
      </c>
      <c r="F1021">
        <v>0</v>
      </c>
      <c r="G1021">
        <v>0.01</v>
      </c>
      <c r="H1021">
        <v>2887</v>
      </c>
      <c r="I1021">
        <v>50</v>
      </c>
    </row>
    <row r="1022" spans="1:9" x14ac:dyDescent="0.3">
      <c r="A1022" s="1">
        <v>45901</v>
      </c>
      <c r="B1022" t="s">
        <v>77</v>
      </c>
      <c r="C1022" t="s">
        <v>36</v>
      </c>
      <c r="D1022">
        <v>0.78</v>
      </c>
      <c r="E1022">
        <v>69.88</v>
      </c>
      <c r="F1022">
        <v>0</v>
      </c>
      <c r="G1022">
        <v>0</v>
      </c>
      <c r="H1022">
        <v>896</v>
      </c>
      <c r="I1022">
        <v>51</v>
      </c>
    </row>
    <row r="1023" spans="1:9" x14ac:dyDescent="0.3">
      <c r="A1023" s="1">
        <v>45901</v>
      </c>
      <c r="B1023" t="s">
        <v>73</v>
      </c>
      <c r="C1023" t="s">
        <v>36</v>
      </c>
      <c r="D1023">
        <v>0.73</v>
      </c>
      <c r="E1023">
        <v>232.38</v>
      </c>
      <c r="F1023">
        <v>0</v>
      </c>
      <c r="G1023">
        <v>0.01</v>
      </c>
      <c r="H1023">
        <v>3183</v>
      </c>
      <c r="I1023">
        <v>52</v>
      </c>
    </row>
    <row r="1024" spans="1:9" x14ac:dyDescent="0.3">
      <c r="A1024" s="1">
        <v>45901</v>
      </c>
      <c r="B1024" t="s">
        <v>75</v>
      </c>
      <c r="C1024" t="s">
        <v>36</v>
      </c>
      <c r="D1024">
        <v>0.73</v>
      </c>
      <c r="E1024">
        <v>250.9</v>
      </c>
      <c r="F1024">
        <v>0</v>
      </c>
      <c r="G1024">
        <v>0.01</v>
      </c>
      <c r="H1024">
        <v>3437</v>
      </c>
      <c r="I1024">
        <v>52</v>
      </c>
    </row>
    <row r="1025" spans="1:9" x14ac:dyDescent="0.3">
      <c r="A1025" s="1">
        <v>45901</v>
      </c>
      <c r="B1025" t="s">
        <v>100</v>
      </c>
      <c r="C1025" t="s">
        <v>36</v>
      </c>
      <c r="D1025">
        <v>0.71</v>
      </c>
      <c r="E1025">
        <v>827.92</v>
      </c>
      <c r="F1025">
        <v>0</v>
      </c>
      <c r="G1025">
        <v>0.03</v>
      </c>
      <c r="H1025">
        <v>11661</v>
      </c>
      <c r="I1025">
        <v>54</v>
      </c>
    </row>
    <row r="1026" spans="1:9" x14ac:dyDescent="0.3">
      <c r="A1026" s="1">
        <v>45901</v>
      </c>
      <c r="B1026" t="s">
        <v>78</v>
      </c>
      <c r="C1026" t="s">
        <v>36</v>
      </c>
      <c r="D1026">
        <v>0.69</v>
      </c>
      <c r="E1026">
        <v>221.41</v>
      </c>
      <c r="F1026">
        <v>0</v>
      </c>
      <c r="G1026">
        <v>0.01</v>
      </c>
      <c r="H1026">
        <v>3209</v>
      </c>
      <c r="I1026">
        <v>55</v>
      </c>
    </row>
    <row r="1027" spans="1:9" x14ac:dyDescent="0.3">
      <c r="A1027" s="1">
        <v>45901</v>
      </c>
      <c r="B1027" t="s">
        <v>109</v>
      </c>
      <c r="C1027" t="s">
        <v>36</v>
      </c>
      <c r="D1027">
        <v>0.67</v>
      </c>
      <c r="E1027">
        <v>65.430000000000007</v>
      </c>
      <c r="F1027">
        <v>0</v>
      </c>
      <c r="G1027">
        <v>0</v>
      </c>
      <c r="H1027">
        <v>977</v>
      </c>
      <c r="I1027">
        <v>56</v>
      </c>
    </row>
    <row r="1028" spans="1:9" x14ac:dyDescent="0.3">
      <c r="A1028" s="1">
        <v>45901</v>
      </c>
      <c r="B1028" t="s">
        <v>114</v>
      </c>
      <c r="C1028" t="s">
        <v>36</v>
      </c>
      <c r="D1028">
        <v>0.67</v>
      </c>
      <c r="E1028">
        <v>54.86</v>
      </c>
      <c r="F1028">
        <v>0</v>
      </c>
      <c r="G1028">
        <v>0</v>
      </c>
      <c r="H1028">
        <v>819</v>
      </c>
      <c r="I1028">
        <v>56</v>
      </c>
    </row>
    <row r="1029" spans="1:9" x14ac:dyDescent="0.3">
      <c r="A1029" s="1">
        <v>45901</v>
      </c>
      <c r="B1029" t="s">
        <v>72</v>
      </c>
      <c r="C1029" t="s">
        <v>36</v>
      </c>
      <c r="D1029">
        <v>0.56000000000000005</v>
      </c>
      <c r="E1029">
        <v>25.14</v>
      </c>
      <c r="F1029">
        <v>0</v>
      </c>
      <c r="G1029">
        <v>0</v>
      </c>
      <c r="H1029">
        <v>449</v>
      </c>
      <c r="I1029">
        <v>58</v>
      </c>
    </row>
    <row r="1030" spans="1:9" x14ac:dyDescent="0.3">
      <c r="A1030" s="1">
        <v>45901</v>
      </c>
      <c r="B1030" t="s">
        <v>70</v>
      </c>
      <c r="C1030" t="s">
        <v>36</v>
      </c>
      <c r="D1030">
        <v>0.55000000000000004</v>
      </c>
      <c r="E1030">
        <v>137.29</v>
      </c>
      <c r="F1030">
        <v>0</v>
      </c>
      <c r="G1030">
        <v>0.01</v>
      </c>
      <c r="H1030">
        <v>2496</v>
      </c>
      <c r="I1030">
        <v>59</v>
      </c>
    </row>
    <row r="1031" spans="1:9" x14ac:dyDescent="0.3">
      <c r="A1031" s="1">
        <v>45901</v>
      </c>
      <c r="B1031" t="s">
        <v>84</v>
      </c>
      <c r="C1031" t="s">
        <v>36</v>
      </c>
      <c r="D1031">
        <v>0.54</v>
      </c>
      <c r="E1031">
        <v>140.38999999999999</v>
      </c>
      <c r="F1031">
        <v>0</v>
      </c>
      <c r="G1031">
        <v>0.01</v>
      </c>
      <c r="H1031">
        <v>2600</v>
      </c>
      <c r="I1031">
        <v>60</v>
      </c>
    </row>
    <row r="1032" spans="1:9" x14ac:dyDescent="0.3">
      <c r="A1032" s="1">
        <v>45901</v>
      </c>
      <c r="B1032" t="s">
        <v>85</v>
      </c>
      <c r="C1032" t="s">
        <v>36</v>
      </c>
      <c r="D1032">
        <v>0.5</v>
      </c>
      <c r="E1032">
        <v>159.6</v>
      </c>
      <c r="F1032">
        <v>0</v>
      </c>
      <c r="G1032">
        <v>0.01</v>
      </c>
      <c r="H1032">
        <v>3192</v>
      </c>
      <c r="I1032">
        <v>61</v>
      </c>
    </row>
    <row r="1033" spans="1:9" x14ac:dyDescent="0.3">
      <c r="A1033" s="1">
        <v>45901</v>
      </c>
      <c r="B1033" t="s">
        <v>102</v>
      </c>
      <c r="C1033" t="s">
        <v>36</v>
      </c>
      <c r="D1033">
        <v>0.49</v>
      </c>
      <c r="E1033">
        <v>22.88</v>
      </c>
      <c r="F1033">
        <v>0</v>
      </c>
      <c r="G1033">
        <v>0</v>
      </c>
      <c r="H1033">
        <v>467</v>
      </c>
      <c r="I1033">
        <v>62</v>
      </c>
    </row>
    <row r="1034" spans="1:9" x14ac:dyDescent="0.3">
      <c r="A1034" s="1">
        <v>45901</v>
      </c>
      <c r="B1034" t="s">
        <v>89</v>
      </c>
      <c r="C1034" t="s">
        <v>36</v>
      </c>
      <c r="D1034">
        <v>0.32</v>
      </c>
      <c r="E1034">
        <v>101.51</v>
      </c>
      <c r="F1034">
        <v>0</v>
      </c>
      <c r="G1034">
        <v>0</v>
      </c>
      <c r="H1034">
        <v>3172</v>
      </c>
      <c r="I1034">
        <v>63</v>
      </c>
    </row>
    <row r="1035" spans="1:9" x14ac:dyDescent="0.3">
      <c r="A1035" s="1">
        <v>45901</v>
      </c>
      <c r="B1035" t="s">
        <v>113</v>
      </c>
      <c r="C1035" t="s">
        <v>36</v>
      </c>
      <c r="D1035">
        <v>0.3</v>
      </c>
      <c r="E1035">
        <v>28.07</v>
      </c>
      <c r="F1035">
        <v>0</v>
      </c>
      <c r="G1035">
        <v>0</v>
      </c>
      <c r="H1035">
        <v>936</v>
      </c>
      <c r="I1035">
        <v>64</v>
      </c>
    </row>
    <row r="1036" spans="1:9" x14ac:dyDescent="0.3">
      <c r="A1036" s="1">
        <v>45901</v>
      </c>
      <c r="B1036" t="s">
        <v>88</v>
      </c>
      <c r="C1036" t="s">
        <v>36</v>
      </c>
      <c r="D1036">
        <v>0.27</v>
      </c>
      <c r="E1036">
        <v>62.58</v>
      </c>
      <c r="F1036">
        <v>0</v>
      </c>
      <c r="G1036">
        <v>0</v>
      </c>
      <c r="H1036">
        <v>2318</v>
      </c>
      <c r="I1036">
        <v>65</v>
      </c>
    </row>
    <row r="1037" spans="1:9" x14ac:dyDescent="0.3">
      <c r="A1037" s="1">
        <v>45901</v>
      </c>
      <c r="B1037" t="s">
        <v>87</v>
      </c>
      <c r="C1037" t="s">
        <v>36</v>
      </c>
      <c r="D1037">
        <v>0.25</v>
      </c>
      <c r="E1037">
        <v>113.63</v>
      </c>
      <c r="F1037">
        <v>0</v>
      </c>
      <c r="G1037">
        <v>0</v>
      </c>
      <c r="H1037">
        <v>4545</v>
      </c>
      <c r="I1037">
        <v>66</v>
      </c>
    </row>
    <row r="1038" spans="1:9" x14ac:dyDescent="0.3">
      <c r="A1038" s="1">
        <v>45901</v>
      </c>
      <c r="B1038" t="s">
        <v>86</v>
      </c>
      <c r="C1038" t="s">
        <v>36</v>
      </c>
      <c r="D1038">
        <v>0.24</v>
      </c>
      <c r="E1038">
        <v>62.77</v>
      </c>
      <c r="F1038">
        <v>0</v>
      </c>
      <c r="G1038">
        <v>0</v>
      </c>
      <c r="H1038">
        <v>2615</v>
      </c>
      <c r="I1038">
        <v>67</v>
      </c>
    </row>
    <row r="1039" spans="1:9" x14ac:dyDescent="0.3">
      <c r="A1039" s="1">
        <v>45901</v>
      </c>
      <c r="B1039" t="s">
        <v>97</v>
      </c>
      <c r="C1039" t="s">
        <v>36</v>
      </c>
      <c r="D1039">
        <v>0.23</v>
      </c>
      <c r="E1039">
        <v>24.83</v>
      </c>
      <c r="F1039">
        <v>0</v>
      </c>
      <c r="G1039">
        <v>0</v>
      </c>
      <c r="H1039">
        <v>1080</v>
      </c>
      <c r="I1039">
        <v>68</v>
      </c>
    </row>
    <row r="1040" spans="1:9" x14ac:dyDescent="0.3">
      <c r="A1040" s="1">
        <v>45901</v>
      </c>
      <c r="B1040" t="s">
        <v>90</v>
      </c>
      <c r="C1040" t="s">
        <v>36</v>
      </c>
      <c r="D1040">
        <v>0.23</v>
      </c>
      <c r="E1040">
        <v>10.7</v>
      </c>
      <c r="F1040">
        <v>0</v>
      </c>
      <c r="G1040">
        <v>0</v>
      </c>
      <c r="H1040">
        <v>465</v>
      </c>
      <c r="I1040">
        <v>68</v>
      </c>
    </row>
    <row r="1041" spans="1:9" x14ac:dyDescent="0.3">
      <c r="A1041" s="1">
        <v>45901</v>
      </c>
      <c r="B1041" t="s">
        <v>93</v>
      </c>
      <c r="C1041" t="s">
        <v>36</v>
      </c>
      <c r="D1041">
        <v>0.17</v>
      </c>
      <c r="E1041">
        <v>69.180000000000007</v>
      </c>
      <c r="F1041">
        <v>0</v>
      </c>
      <c r="G1041">
        <v>0</v>
      </c>
      <c r="H1041">
        <v>4069</v>
      </c>
      <c r="I1041">
        <v>70</v>
      </c>
    </row>
    <row r="1042" spans="1:9" x14ac:dyDescent="0.3">
      <c r="A1042" s="1">
        <v>45901</v>
      </c>
      <c r="B1042" t="s">
        <v>121</v>
      </c>
      <c r="C1042" t="s">
        <v>36</v>
      </c>
      <c r="D1042">
        <v>0.14000000000000001</v>
      </c>
      <c r="E1042">
        <v>3.13</v>
      </c>
      <c r="F1042">
        <v>0</v>
      </c>
      <c r="G1042">
        <v>0</v>
      </c>
      <c r="H1042">
        <v>224</v>
      </c>
      <c r="I1042">
        <v>71</v>
      </c>
    </row>
    <row r="1043" spans="1:9" x14ac:dyDescent="0.3">
      <c r="A1043" s="1">
        <v>45901</v>
      </c>
      <c r="B1043" t="s">
        <v>99</v>
      </c>
      <c r="C1043" t="s">
        <v>36</v>
      </c>
      <c r="D1043">
        <v>0.13</v>
      </c>
      <c r="E1043">
        <v>4.49</v>
      </c>
      <c r="F1043">
        <v>0</v>
      </c>
      <c r="G1043">
        <v>0</v>
      </c>
      <c r="H1043">
        <v>345</v>
      </c>
      <c r="I1043">
        <v>72</v>
      </c>
    </row>
    <row r="1044" spans="1:9" x14ac:dyDescent="0.3">
      <c r="A1044" s="1">
        <v>45901</v>
      </c>
      <c r="B1044" t="s">
        <v>117</v>
      </c>
      <c r="C1044" t="s">
        <v>36</v>
      </c>
      <c r="D1044">
        <v>0.13</v>
      </c>
      <c r="E1044">
        <v>19.72</v>
      </c>
      <c r="F1044">
        <v>0</v>
      </c>
      <c r="G1044">
        <v>0</v>
      </c>
      <c r="H1044">
        <v>1517</v>
      </c>
      <c r="I1044">
        <v>72</v>
      </c>
    </row>
    <row r="1045" spans="1:9" x14ac:dyDescent="0.3">
      <c r="A1045" s="1">
        <v>45901</v>
      </c>
      <c r="B1045" t="s">
        <v>101</v>
      </c>
      <c r="C1045" t="s">
        <v>36</v>
      </c>
      <c r="D1045">
        <v>0.11</v>
      </c>
      <c r="E1045">
        <v>40.619999999999997</v>
      </c>
      <c r="F1045">
        <v>0</v>
      </c>
      <c r="G1045">
        <v>0</v>
      </c>
      <c r="H1045">
        <v>3693</v>
      </c>
      <c r="I1045">
        <v>74</v>
      </c>
    </row>
    <row r="1046" spans="1:9" x14ac:dyDescent="0.3">
      <c r="A1046" s="1">
        <v>45901</v>
      </c>
      <c r="B1046" t="s">
        <v>96</v>
      </c>
      <c r="C1046" t="s">
        <v>36</v>
      </c>
      <c r="D1046">
        <v>0.1</v>
      </c>
      <c r="E1046">
        <v>36.17</v>
      </c>
      <c r="F1046">
        <v>0</v>
      </c>
      <c r="G1046">
        <v>0</v>
      </c>
      <c r="H1046">
        <v>3617</v>
      </c>
      <c r="I1046">
        <v>75</v>
      </c>
    </row>
    <row r="1047" spans="1:9" x14ac:dyDescent="0.3">
      <c r="A1047" s="1">
        <v>45901</v>
      </c>
      <c r="B1047" t="s">
        <v>91</v>
      </c>
      <c r="C1047" t="s">
        <v>36</v>
      </c>
      <c r="D1047">
        <v>0.09</v>
      </c>
      <c r="E1047">
        <v>6.96</v>
      </c>
      <c r="F1047">
        <v>0</v>
      </c>
      <c r="G1047">
        <v>0</v>
      </c>
      <c r="H1047">
        <v>773</v>
      </c>
      <c r="I1047">
        <v>76</v>
      </c>
    </row>
    <row r="1048" spans="1:9" x14ac:dyDescent="0.3">
      <c r="A1048" s="1">
        <v>45901</v>
      </c>
      <c r="B1048" t="s">
        <v>95</v>
      </c>
      <c r="C1048" t="s">
        <v>36</v>
      </c>
      <c r="D1048">
        <v>0.08</v>
      </c>
      <c r="E1048">
        <v>31.81</v>
      </c>
      <c r="F1048">
        <v>0</v>
      </c>
      <c r="G1048">
        <v>0</v>
      </c>
      <c r="H1048">
        <v>3976</v>
      </c>
      <c r="I1048">
        <v>77</v>
      </c>
    </row>
    <row r="1049" spans="1:9" x14ac:dyDescent="0.3">
      <c r="A1049" s="1">
        <v>45901</v>
      </c>
      <c r="B1049" t="s">
        <v>118</v>
      </c>
      <c r="C1049" t="s">
        <v>36</v>
      </c>
      <c r="D1049">
        <v>7.0000000000000007E-2</v>
      </c>
      <c r="E1049">
        <v>21.92</v>
      </c>
      <c r="F1049">
        <v>0</v>
      </c>
      <c r="G1049">
        <v>0</v>
      </c>
      <c r="H1049">
        <v>3131</v>
      </c>
      <c r="I1049">
        <v>78</v>
      </c>
    </row>
    <row r="1050" spans="1:9" x14ac:dyDescent="0.3">
      <c r="A1050" s="1">
        <v>45901</v>
      </c>
      <c r="B1050" t="s">
        <v>92</v>
      </c>
      <c r="C1050" t="s">
        <v>36</v>
      </c>
      <c r="D1050">
        <v>0.05</v>
      </c>
      <c r="E1050">
        <v>13.16</v>
      </c>
      <c r="F1050">
        <v>0</v>
      </c>
      <c r="G1050">
        <v>0</v>
      </c>
      <c r="H1050">
        <v>2632</v>
      </c>
      <c r="I1050">
        <v>79</v>
      </c>
    </row>
    <row r="1051" spans="1:9" x14ac:dyDescent="0.3">
      <c r="A1051" s="1">
        <v>45901</v>
      </c>
      <c r="B1051" t="s">
        <v>122</v>
      </c>
      <c r="C1051" t="s">
        <v>36</v>
      </c>
      <c r="D1051">
        <v>0.05</v>
      </c>
      <c r="E1051">
        <v>2.1800000000000002</v>
      </c>
      <c r="F1051">
        <v>0</v>
      </c>
      <c r="G1051">
        <v>0</v>
      </c>
      <c r="H1051">
        <v>436</v>
      </c>
      <c r="I1051">
        <v>79</v>
      </c>
    </row>
    <row r="1052" spans="1:9" x14ac:dyDescent="0.3">
      <c r="A1052" s="1">
        <v>45901</v>
      </c>
      <c r="B1052" t="s">
        <v>119</v>
      </c>
      <c r="C1052" t="s">
        <v>36</v>
      </c>
      <c r="D1052">
        <v>0.05</v>
      </c>
      <c r="E1052">
        <v>4.05</v>
      </c>
      <c r="F1052">
        <v>0</v>
      </c>
      <c r="G1052">
        <v>0</v>
      </c>
      <c r="H1052">
        <v>810</v>
      </c>
      <c r="I1052">
        <v>79</v>
      </c>
    </row>
    <row r="1053" spans="1:9" x14ac:dyDescent="0.3">
      <c r="A1053" s="1">
        <v>45901</v>
      </c>
      <c r="B1053" t="s">
        <v>120</v>
      </c>
      <c r="C1053" t="s">
        <v>36</v>
      </c>
      <c r="D1053">
        <v>0.03</v>
      </c>
      <c r="E1053">
        <v>5.49</v>
      </c>
      <c r="F1053">
        <v>0</v>
      </c>
      <c r="G1053">
        <v>0</v>
      </c>
      <c r="H1053">
        <v>1830</v>
      </c>
      <c r="I1053">
        <v>82</v>
      </c>
    </row>
    <row r="1054" spans="1:9" x14ac:dyDescent="0.3">
      <c r="A1054" s="1">
        <v>45901</v>
      </c>
      <c r="B1054" t="s">
        <v>103</v>
      </c>
      <c r="C1054" t="s">
        <v>36</v>
      </c>
      <c r="D1054">
        <v>0.03</v>
      </c>
      <c r="E1054">
        <v>1.96</v>
      </c>
      <c r="F1054">
        <v>0</v>
      </c>
      <c r="G1054">
        <v>0</v>
      </c>
      <c r="H1054">
        <v>653</v>
      </c>
      <c r="I1054">
        <v>82</v>
      </c>
    </row>
    <row r="1055" spans="1:9" x14ac:dyDescent="0.3">
      <c r="A1055" s="1">
        <v>45901</v>
      </c>
      <c r="B1055" t="s">
        <v>104</v>
      </c>
      <c r="C1055" t="s">
        <v>36</v>
      </c>
      <c r="D1055">
        <v>0.02</v>
      </c>
      <c r="E1055">
        <v>7.21</v>
      </c>
      <c r="F1055">
        <v>0</v>
      </c>
      <c r="G1055">
        <v>0</v>
      </c>
      <c r="H1055">
        <v>3605</v>
      </c>
      <c r="I1055">
        <v>84</v>
      </c>
    </row>
    <row r="1056" spans="1:9" x14ac:dyDescent="0.3">
      <c r="A1056" s="1">
        <v>45901</v>
      </c>
      <c r="B1056" t="s">
        <v>105</v>
      </c>
      <c r="C1056" t="s">
        <v>36</v>
      </c>
      <c r="D1056">
        <v>0.02</v>
      </c>
      <c r="E1056">
        <v>7.23</v>
      </c>
      <c r="F1056">
        <v>0</v>
      </c>
      <c r="G1056">
        <v>0</v>
      </c>
      <c r="H1056">
        <v>3615</v>
      </c>
      <c r="I1056">
        <v>84</v>
      </c>
    </row>
    <row r="1057" spans="1:9" x14ac:dyDescent="0.3">
      <c r="A1057" s="1">
        <v>45931</v>
      </c>
      <c r="B1057" t="s">
        <v>32</v>
      </c>
      <c r="C1057" t="s">
        <v>32</v>
      </c>
      <c r="D1057">
        <v>9410.5499999999993</v>
      </c>
      <c r="E1057">
        <v>1306265.2</v>
      </c>
      <c r="F1057">
        <v>45.46</v>
      </c>
      <c r="G1057">
        <v>47.89</v>
      </c>
      <c r="H1057">
        <v>1388</v>
      </c>
      <c r="I1057">
        <v>1</v>
      </c>
    </row>
    <row r="1058" spans="1:9" x14ac:dyDescent="0.3">
      <c r="A1058" s="1">
        <v>45931</v>
      </c>
      <c r="B1058" t="s">
        <v>33</v>
      </c>
      <c r="C1058" t="s">
        <v>33</v>
      </c>
      <c r="D1058">
        <v>7164.43</v>
      </c>
      <c r="E1058">
        <v>954048.01</v>
      </c>
      <c r="F1058">
        <v>34.61</v>
      </c>
      <c r="G1058">
        <v>34.979999999999997</v>
      </c>
      <c r="H1058">
        <v>1332</v>
      </c>
      <c r="I1058">
        <v>2</v>
      </c>
    </row>
    <row r="1059" spans="1:9" x14ac:dyDescent="0.3">
      <c r="A1059" s="1">
        <v>45931</v>
      </c>
      <c r="B1059" t="s">
        <v>34</v>
      </c>
      <c r="C1059" t="s">
        <v>34</v>
      </c>
      <c r="D1059">
        <v>1498.54</v>
      </c>
      <c r="E1059">
        <v>166629.1</v>
      </c>
      <c r="F1059">
        <v>7.24</v>
      </c>
      <c r="G1059">
        <v>6.11</v>
      </c>
      <c r="H1059">
        <v>1112</v>
      </c>
      <c r="I1059">
        <v>3</v>
      </c>
    </row>
    <row r="1060" spans="1:9" x14ac:dyDescent="0.3">
      <c r="A1060" s="1">
        <v>45931</v>
      </c>
      <c r="B1060" t="s">
        <v>37</v>
      </c>
      <c r="C1060" t="s">
        <v>36</v>
      </c>
      <c r="D1060">
        <v>573.79</v>
      </c>
      <c r="E1060">
        <v>30599.37</v>
      </c>
      <c r="F1060">
        <v>2.77</v>
      </c>
      <c r="G1060">
        <v>1.1200000000000001</v>
      </c>
      <c r="H1060">
        <v>533</v>
      </c>
      <c r="I1060">
        <v>4</v>
      </c>
    </row>
    <row r="1061" spans="1:9" x14ac:dyDescent="0.3">
      <c r="A1061" s="1">
        <v>45931</v>
      </c>
      <c r="B1061" t="s">
        <v>47</v>
      </c>
      <c r="C1061" t="s">
        <v>36</v>
      </c>
      <c r="D1061">
        <v>264.77</v>
      </c>
      <c r="E1061">
        <v>10962.09</v>
      </c>
      <c r="F1061">
        <v>1.28</v>
      </c>
      <c r="G1061">
        <v>0.4</v>
      </c>
      <c r="H1061">
        <v>414</v>
      </c>
      <c r="I1061">
        <v>5</v>
      </c>
    </row>
    <row r="1062" spans="1:9" x14ac:dyDescent="0.3">
      <c r="A1062" s="1">
        <v>45931</v>
      </c>
      <c r="B1062" t="s">
        <v>35</v>
      </c>
      <c r="C1062" t="s">
        <v>36</v>
      </c>
      <c r="D1062">
        <v>157.99</v>
      </c>
      <c r="E1062">
        <v>62438.03</v>
      </c>
      <c r="F1062">
        <v>0.76</v>
      </c>
      <c r="G1062">
        <v>2.29</v>
      </c>
      <c r="H1062">
        <v>3952</v>
      </c>
      <c r="I1062">
        <v>6</v>
      </c>
    </row>
    <row r="1063" spans="1:9" x14ac:dyDescent="0.3">
      <c r="A1063" s="1">
        <v>45931</v>
      </c>
      <c r="B1063" t="s">
        <v>40</v>
      </c>
      <c r="C1063" t="s">
        <v>36</v>
      </c>
      <c r="D1063">
        <v>146.03</v>
      </c>
      <c r="E1063">
        <v>1900.99</v>
      </c>
      <c r="F1063">
        <v>0.71</v>
      </c>
      <c r="G1063">
        <v>7.0000000000000007E-2</v>
      </c>
      <c r="H1063">
        <v>130</v>
      </c>
      <c r="I1063">
        <v>7</v>
      </c>
    </row>
    <row r="1064" spans="1:9" x14ac:dyDescent="0.3">
      <c r="A1064" s="1">
        <v>45931</v>
      </c>
      <c r="B1064" t="s">
        <v>46</v>
      </c>
      <c r="C1064" t="s">
        <v>36</v>
      </c>
      <c r="D1064">
        <v>124.25</v>
      </c>
      <c r="E1064">
        <v>19376.259999999998</v>
      </c>
      <c r="F1064">
        <v>0.6</v>
      </c>
      <c r="G1064">
        <v>0.71</v>
      </c>
      <c r="H1064">
        <v>1559</v>
      </c>
      <c r="I1064">
        <v>8</v>
      </c>
    </row>
    <row r="1065" spans="1:9" x14ac:dyDescent="0.3">
      <c r="A1065" s="1">
        <v>45931</v>
      </c>
      <c r="B1065" t="s">
        <v>38</v>
      </c>
      <c r="C1065" t="s">
        <v>36</v>
      </c>
      <c r="D1065">
        <v>113.58</v>
      </c>
      <c r="E1065">
        <v>15761.25</v>
      </c>
      <c r="F1065">
        <v>0.55000000000000004</v>
      </c>
      <c r="G1065">
        <v>0.57999999999999996</v>
      </c>
      <c r="H1065">
        <v>1388</v>
      </c>
      <c r="I1065">
        <v>9</v>
      </c>
    </row>
    <row r="1066" spans="1:9" x14ac:dyDescent="0.3">
      <c r="A1066" s="1">
        <v>45931</v>
      </c>
      <c r="B1066" t="s">
        <v>39</v>
      </c>
      <c r="C1066" t="s">
        <v>36</v>
      </c>
      <c r="D1066">
        <v>91.65</v>
      </c>
      <c r="E1066">
        <v>10710.43</v>
      </c>
      <c r="F1066">
        <v>0.44</v>
      </c>
      <c r="G1066">
        <v>0.39</v>
      </c>
      <c r="H1066">
        <v>1169</v>
      </c>
      <c r="I1066">
        <v>10</v>
      </c>
    </row>
    <row r="1067" spans="1:9" x14ac:dyDescent="0.3">
      <c r="A1067" s="1">
        <v>45931</v>
      </c>
      <c r="B1067" t="s">
        <v>43</v>
      </c>
      <c r="C1067" t="s">
        <v>36</v>
      </c>
      <c r="D1067">
        <v>85.14</v>
      </c>
      <c r="E1067">
        <v>10842.97</v>
      </c>
      <c r="F1067">
        <v>0.41</v>
      </c>
      <c r="G1067">
        <v>0.4</v>
      </c>
      <c r="H1067">
        <v>1274</v>
      </c>
      <c r="I1067">
        <v>11</v>
      </c>
    </row>
    <row r="1068" spans="1:9" x14ac:dyDescent="0.3">
      <c r="A1068" s="1">
        <v>45931</v>
      </c>
      <c r="B1068" t="s">
        <v>42</v>
      </c>
      <c r="C1068" t="s">
        <v>36</v>
      </c>
      <c r="D1068">
        <v>84.35</v>
      </c>
      <c r="E1068">
        <v>6512.78</v>
      </c>
      <c r="F1068">
        <v>0.41</v>
      </c>
      <c r="G1068">
        <v>0.24</v>
      </c>
      <c r="H1068">
        <v>772</v>
      </c>
      <c r="I1068">
        <v>12</v>
      </c>
    </row>
    <row r="1069" spans="1:9" x14ac:dyDescent="0.3">
      <c r="A1069" s="1">
        <v>45931</v>
      </c>
      <c r="B1069" t="s">
        <v>44</v>
      </c>
      <c r="C1069" t="s">
        <v>36</v>
      </c>
      <c r="D1069">
        <v>80.37</v>
      </c>
      <c r="E1069">
        <v>18623.689999999999</v>
      </c>
      <c r="F1069">
        <v>0.39</v>
      </c>
      <c r="G1069">
        <v>0.68</v>
      </c>
      <c r="H1069">
        <v>2317</v>
      </c>
      <c r="I1069">
        <v>13</v>
      </c>
    </row>
    <row r="1070" spans="1:9" x14ac:dyDescent="0.3">
      <c r="A1070" s="1">
        <v>45931</v>
      </c>
      <c r="B1070" t="s">
        <v>41</v>
      </c>
      <c r="C1070" t="s">
        <v>36</v>
      </c>
      <c r="D1070">
        <v>73.2</v>
      </c>
      <c r="E1070">
        <v>18114.84</v>
      </c>
      <c r="F1070">
        <v>0.35</v>
      </c>
      <c r="G1070">
        <v>0.66</v>
      </c>
      <c r="H1070">
        <v>2475</v>
      </c>
      <c r="I1070">
        <v>14</v>
      </c>
    </row>
    <row r="1071" spans="1:9" x14ac:dyDescent="0.3">
      <c r="A1071" s="1">
        <v>45931</v>
      </c>
      <c r="B1071" t="s">
        <v>45</v>
      </c>
      <c r="C1071" t="s">
        <v>36</v>
      </c>
      <c r="D1071">
        <v>54.81</v>
      </c>
      <c r="E1071">
        <v>7495.68</v>
      </c>
      <c r="F1071">
        <v>0.26</v>
      </c>
      <c r="G1071">
        <v>0.27</v>
      </c>
      <c r="H1071">
        <v>1368</v>
      </c>
      <c r="I1071">
        <v>15</v>
      </c>
    </row>
    <row r="1072" spans="1:9" x14ac:dyDescent="0.3">
      <c r="A1072" s="1">
        <v>45931</v>
      </c>
      <c r="B1072" t="s">
        <v>49</v>
      </c>
      <c r="C1072" t="s">
        <v>36</v>
      </c>
      <c r="D1072">
        <v>52.39</v>
      </c>
      <c r="E1072">
        <v>6500.58</v>
      </c>
      <c r="F1072">
        <v>0.25</v>
      </c>
      <c r="G1072">
        <v>0.24</v>
      </c>
      <c r="H1072">
        <v>1241</v>
      </c>
      <c r="I1072">
        <v>16</v>
      </c>
    </row>
    <row r="1073" spans="1:9" x14ac:dyDescent="0.3">
      <c r="A1073" s="1">
        <v>45931</v>
      </c>
      <c r="B1073" t="s">
        <v>65</v>
      </c>
      <c r="C1073" t="s">
        <v>36</v>
      </c>
      <c r="D1073">
        <v>38.92</v>
      </c>
      <c r="E1073">
        <v>1700.27</v>
      </c>
      <c r="F1073">
        <v>0.19</v>
      </c>
      <c r="G1073">
        <v>0.06</v>
      </c>
      <c r="H1073">
        <v>437</v>
      </c>
      <c r="I1073">
        <v>17</v>
      </c>
    </row>
    <row r="1074" spans="1:9" x14ac:dyDescent="0.3">
      <c r="A1074" s="1">
        <v>45931</v>
      </c>
      <c r="B1074" t="s">
        <v>53</v>
      </c>
      <c r="C1074" t="s">
        <v>36</v>
      </c>
      <c r="D1074">
        <v>25.1</v>
      </c>
      <c r="E1074">
        <v>3155.16</v>
      </c>
      <c r="F1074">
        <v>0.12</v>
      </c>
      <c r="G1074">
        <v>0.12</v>
      </c>
      <c r="H1074">
        <v>1257</v>
      </c>
      <c r="I1074">
        <v>18</v>
      </c>
    </row>
    <row r="1075" spans="1:9" x14ac:dyDescent="0.3">
      <c r="A1075" s="1">
        <v>45931</v>
      </c>
      <c r="B1075" t="s">
        <v>57</v>
      </c>
      <c r="C1075" t="s">
        <v>36</v>
      </c>
      <c r="D1075">
        <v>17.97</v>
      </c>
      <c r="E1075">
        <v>1879.52</v>
      </c>
      <c r="F1075">
        <v>0.09</v>
      </c>
      <c r="G1075">
        <v>7.0000000000000007E-2</v>
      </c>
      <c r="H1075">
        <v>1046</v>
      </c>
      <c r="I1075">
        <v>19</v>
      </c>
    </row>
    <row r="1076" spans="1:9" x14ac:dyDescent="0.3">
      <c r="A1076" s="1">
        <v>45931</v>
      </c>
      <c r="B1076" t="s">
        <v>48</v>
      </c>
      <c r="C1076" t="s">
        <v>36</v>
      </c>
      <c r="D1076">
        <v>17.43</v>
      </c>
      <c r="E1076">
        <v>1340.02</v>
      </c>
      <c r="F1076">
        <v>0.08</v>
      </c>
      <c r="G1076">
        <v>0.05</v>
      </c>
      <c r="H1076">
        <v>769</v>
      </c>
      <c r="I1076">
        <v>20</v>
      </c>
    </row>
    <row r="1077" spans="1:9" x14ac:dyDescent="0.3">
      <c r="A1077" s="1">
        <v>45931</v>
      </c>
      <c r="B1077" t="s">
        <v>50</v>
      </c>
      <c r="C1077" t="s">
        <v>36</v>
      </c>
      <c r="D1077">
        <v>15.87</v>
      </c>
      <c r="E1077">
        <v>12555.52</v>
      </c>
      <c r="F1077">
        <v>0.08</v>
      </c>
      <c r="G1077">
        <v>0.46</v>
      </c>
      <c r="H1077">
        <v>7911</v>
      </c>
      <c r="I1077">
        <v>21</v>
      </c>
    </row>
    <row r="1078" spans="1:9" x14ac:dyDescent="0.3">
      <c r="A1078" s="1">
        <v>45931</v>
      </c>
      <c r="B1078" t="s">
        <v>55</v>
      </c>
      <c r="C1078" t="s">
        <v>36</v>
      </c>
      <c r="D1078">
        <v>13.74</v>
      </c>
      <c r="E1078">
        <v>3041.73</v>
      </c>
      <c r="F1078">
        <v>7.0000000000000007E-2</v>
      </c>
      <c r="G1078">
        <v>0.11</v>
      </c>
      <c r="H1078">
        <v>2214</v>
      </c>
      <c r="I1078">
        <v>22</v>
      </c>
    </row>
    <row r="1079" spans="1:9" x14ac:dyDescent="0.3">
      <c r="A1079" s="1">
        <v>45931</v>
      </c>
      <c r="B1079" t="s">
        <v>54</v>
      </c>
      <c r="C1079" t="s">
        <v>36</v>
      </c>
      <c r="D1079">
        <v>12.9</v>
      </c>
      <c r="E1079">
        <v>4041.65</v>
      </c>
      <c r="F1079">
        <v>0.06</v>
      </c>
      <c r="G1079">
        <v>0.15</v>
      </c>
      <c r="H1079">
        <v>3133</v>
      </c>
      <c r="I1079">
        <v>23</v>
      </c>
    </row>
    <row r="1080" spans="1:9" x14ac:dyDescent="0.3">
      <c r="A1080" s="1">
        <v>45931</v>
      </c>
      <c r="B1080" t="s">
        <v>52</v>
      </c>
      <c r="C1080" t="s">
        <v>36</v>
      </c>
      <c r="D1080">
        <v>12.82</v>
      </c>
      <c r="E1080">
        <v>2599.2800000000002</v>
      </c>
      <c r="F1080">
        <v>0.06</v>
      </c>
      <c r="G1080">
        <v>0.1</v>
      </c>
      <c r="H1080">
        <v>2028</v>
      </c>
      <c r="I1080">
        <v>24</v>
      </c>
    </row>
    <row r="1081" spans="1:9" x14ac:dyDescent="0.3">
      <c r="A1081" s="1">
        <v>45931</v>
      </c>
      <c r="B1081" t="s">
        <v>56</v>
      </c>
      <c r="C1081" t="s">
        <v>36</v>
      </c>
      <c r="D1081">
        <v>10.47</v>
      </c>
      <c r="E1081">
        <v>758.79</v>
      </c>
      <c r="F1081">
        <v>0.05</v>
      </c>
      <c r="G1081">
        <v>0.03</v>
      </c>
      <c r="H1081">
        <v>725</v>
      </c>
      <c r="I1081">
        <v>25</v>
      </c>
    </row>
    <row r="1082" spans="1:9" x14ac:dyDescent="0.3">
      <c r="A1082" s="1">
        <v>45931</v>
      </c>
      <c r="B1082" t="s">
        <v>58</v>
      </c>
      <c r="C1082" t="s">
        <v>36</v>
      </c>
      <c r="D1082">
        <v>6.99</v>
      </c>
      <c r="E1082">
        <v>1626.56</v>
      </c>
      <c r="F1082">
        <v>0.03</v>
      </c>
      <c r="G1082">
        <v>0.06</v>
      </c>
      <c r="H1082">
        <v>2327</v>
      </c>
      <c r="I1082">
        <v>26</v>
      </c>
    </row>
    <row r="1083" spans="1:9" x14ac:dyDescent="0.3">
      <c r="A1083" s="1">
        <v>45931</v>
      </c>
      <c r="B1083" t="s">
        <v>67</v>
      </c>
      <c r="C1083" t="s">
        <v>36</v>
      </c>
      <c r="D1083">
        <v>6.92</v>
      </c>
      <c r="E1083">
        <v>1983.26</v>
      </c>
      <c r="F1083">
        <v>0.03</v>
      </c>
      <c r="G1083">
        <v>7.0000000000000007E-2</v>
      </c>
      <c r="H1083">
        <v>2866</v>
      </c>
      <c r="I1083">
        <v>27</v>
      </c>
    </row>
    <row r="1084" spans="1:9" x14ac:dyDescent="0.3">
      <c r="A1084" s="1">
        <v>45931</v>
      </c>
      <c r="B1084" t="s">
        <v>59</v>
      </c>
      <c r="C1084" t="s">
        <v>36</v>
      </c>
      <c r="D1084">
        <v>6.06</v>
      </c>
      <c r="E1084">
        <v>991.43</v>
      </c>
      <c r="F1084">
        <v>0.03</v>
      </c>
      <c r="G1084">
        <v>0.04</v>
      </c>
      <c r="H1084">
        <v>1636</v>
      </c>
      <c r="I1084">
        <v>28</v>
      </c>
    </row>
    <row r="1085" spans="1:9" x14ac:dyDescent="0.3">
      <c r="A1085" s="1">
        <v>45931</v>
      </c>
      <c r="B1085" t="s">
        <v>62</v>
      </c>
      <c r="C1085" t="s">
        <v>36</v>
      </c>
      <c r="D1085">
        <v>5.68</v>
      </c>
      <c r="E1085">
        <v>417.41</v>
      </c>
      <c r="F1085">
        <v>0.03</v>
      </c>
      <c r="G1085">
        <v>0.02</v>
      </c>
      <c r="H1085">
        <v>735</v>
      </c>
      <c r="I1085">
        <v>29</v>
      </c>
    </row>
    <row r="1086" spans="1:9" x14ac:dyDescent="0.3">
      <c r="A1086" s="1">
        <v>45931</v>
      </c>
      <c r="B1086" t="s">
        <v>60</v>
      </c>
      <c r="C1086" t="s">
        <v>36</v>
      </c>
      <c r="D1086">
        <v>5.21</v>
      </c>
      <c r="E1086">
        <v>1035.32</v>
      </c>
      <c r="F1086">
        <v>0.03</v>
      </c>
      <c r="G1086">
        <v>0.04</v>
      </c>
      <c r="H1086">
        <v>1987</v>
      </c>
      <c r="I1086">
        <v>30</v>
      </c>
    </row>
    <row r="1087" spans="1:9" x14ac:dyDescent="0.3">
      <c r="A1087" s="1">
        <v>45931</v>
      </c>
      <c r="B1087" t="s">
        <v>61</v>
      </c>
      <c r="C1087" t="s">
        <v>36</v>
      </c>
      <c r="D1087">
        <v>4.37</v>
      </c>
      <c r="E1087">
        <v>1133.76</v>
      </c>
      <c r="F1087">
        <v>0.02</v>
      </c>
      <c r="G1087">
        <v>0.04</v>
      </c>
      <c r="H1087">
        <v>2594</v>
      </c>
      <c r="I1087">
        <v>31</v>
      </c>
    </row>
    <row r="1088" spans="1:9" x14ac:dyDescent="0.3">
      <c r="A1088" s="1">
        <v>45931</v>
      </c>
      <c r="B1088" t="s">
        <v>63</v>
      </c>
      <c r="C1088" t="s">
        <v>36</v>
      </c>
      <c r="D1088">
        <v>4.1500000000000004</v>
      </c>
      <c r="E1088">
        <v>1110.1500000000001</v>
      </c>
      <c r="F1088">
        <v>0.02</v>
      </c>
      <c r="G1088">
        <v>0.04</v>
      </c>
      <c r="H1088">
        <v>2675</v>
      </c>
      <c r="I1088">
        <v>32</v>
      </c>
    </row>
    <row r="1089" spans="1:9" x14ac:dyDescent="0.3">
      <c r="A1089" s="1">
        <v>45931</v>
      </c>
      <c r="B1089" t="s">
        <v>94</v>
      </c>
      <c r="C1089" t="s">
        <v>36</v>
      </c>
      <c r="D1089">
        <v>3.47</v>
      </c>
      <c r="E1089">
        <v>368.39</v>
      </c>
      <c r="F1089">
        <v>0.02</v>
      </c>
      <c r="G1089">
        <v>0.01</v>
      </c>
      <c r="H1089">
        <v>1062</v>
      </c>
      <c r="I1089">
        <v>33</v>
      </c>
    </row>
    <row r="1090" spans="1:9" x14ac:dyDescent="0.3">
      <c r="A1090" s="1">
        <v>45931</v>
      </c>
      <c r="B1090" t="s">
        <v>51</v>
      </c>
      <c r="C1090" t="s">
        <v>36</v>
      </c>
      <c r="D1090">
        <v>3.31</v>
      </c>
      <c r="E1090">
        <v>208.86</v>
      </c>
      <c r="F1090">
        <v>0.02</v>
      </c>
      <c r="G1090">
        <v>0.01</v>
      </c>
      <c r="H1090">
        <v>631</v>
      </c>
      <c r="I1090">
        <v>34</v>
      </c>
    </row>
    <row r="1091" spans="1:9" x14ac:dyDescent="0.3">
      <c r="A1091" s="1">
        <v>45931</v>
      </c>
      <c r="B1091" t="s">
        <v>115</v>
      </c>
      <c r="C1091" t="s">
        <v>36</v>
      </c>
      <c r="D1091">
        <v>2.98</v>
      </c>
      <c r="E1091">
        <v>1121.6099999999999</v>
      </c>
      <c r="F1091">
        <v>0.01</v>
      </c>
      <c r="G1091">
        <v>0.04</v>
      </c>
      <c r="H1091">
        <v>3764</v>
      </c>
      <c r="I1091">
        <v>35</v>
      </c>
    </row>
    <row r="1092" spans="1:9" x14ac:dyDescent="0.3">
      <c r="A1092" s="1">
        <v>45931</v>
      </c>
      <c r="B1092" t="s">
        <v>82</v>
      </c>
      <c r="C1092" t="s">
        <v>36</v>
      </c>
      <c r="D1092">
        <v>2.92</v>
      </c>
      <c r="E1092">
        <v>403.52</v>
      </c>
      <c r="F1092">
        <v>0.01</v>
      </c>
      <c r="G1092">
        <v>0.01</v>
      </c>
      <c r="H1092">
        <v>1382</v>
      </c>
      <c r="I1092">
        <v>36</v>
      </c>
    </row>
    <row r="1093" spans="1:9" x14ac:dyDescent="0.3">
      <c r="A1093" s="1">
        <v>45931</v>
      </c>
      <c r="B1093" t="s">
        <v>69</v>
      </c>
      <c r="C1093" t="s">
        <v>36</v>
      </c>
      <c r="D1093">
        <v>2.77</v>
      </c>
      <c r="E1093">
        <v>723.28</v>
      </c>
      <c r="F1093">
        <v>0.01</v>
      </c>
      <c r="G1093">
        <v>0.03</v>
      </c>
      <c r="H1093">
        <v>2611</v>
      </c>
      <c r="I1093">
        <v>37</v>
      </c>
    </row>
    <row r="1094" spans="1:9" x14ac:dyDescent="0.3">
      <c r="A1094" s="1">
        <v>45931</v>
      </c>
      <c r="B1094" t="s">
        <v>108</v>
      </c>
      <c r="C1094" t="s">
        <v>36</v>
      </c>
      <c r="D1094">
        <v>2.7</v>
      </c>
      <c r="E1094">
        <v>405.88</v>
      </c>
      <c r="F1094">
        <v>0.01</v>
      </c>
      <c r="G1094">
        <v>0.01</v>
      </c>
      <c r="H1094">
        <v>1503</v>
      </c>
      <c r="I1094">
        <v>38</v>
      </c>
    </row>
    <row r="1095" spans="1:9" x14ac:dyDescent="0.3">
      <c r="A1095" s="1">
        <v>45931</v>
      </c>
      <c r="B1095" t="s">
        <v>71</v>
      </c>
      <c r="C1095" t="s">
        <v>36</v>
      </c>
      <c r="D1095">
        <v>2.66</v>
      </c>
      <c r="E1095">
        <v>419.17</v>
      </c>
      <c r="F1095">
        <v>0.01</v>
      </c>
      <c r="G1095">
        <v>0.02</v>
      </c>
      <c r="H1095">
        <v>1576</v>
      </c>
      <c r="I1095">
        <v>39</v>
      </c>
    </row>
    <row r="1096" spans="1:9" x14ac:dyDescent="0.3">
      <c r="A1096" s="1">
        <v>45931</v>
      </c>
      <c r="B1096" t="s">
        <v>83</v>
      </c>
      <c r="C1096" t="s">
        <v>36</v>
      </c>
      <c r="D1096">
        <v>2.2999999999999998</v>
      </c>
      <c r="E1096">
        <v>14.34</v>
      </c>
      <c r="F1096">
        <v>0.01</v>
      </c>
      <c r="G1096">
        <v>0</v>
      </c>
      <c r="H1096">
        <v>62</v>
      </c>
      <c r="I1096">
        <v>40</v>
      </c>
    </row>
    <row r="1097" spans="1:9" x14ac:dyDescent="0.3">
      <c r="A1097" s="1">
        <v>45931</v>
      </c>
      <c r="B1097" t="s">
        <v>66</v>
      </c>
      <c r="C1097" t="s">
        <v>36</v>
      </c>
      <c r="D1097">
        <v>1.94</v>
      </c>
      <c r="E1097">
        <v>38.42</v>
      </c>
      <c r="F1097">
        <v>0.01</v>
      </c>
      <c r="G1097">
        <v>0</v>
      </c>
      <c r="H1097">
        <v>198</v>
      </c>
      <c r="I1097">
        <v>41</v>
      </c>
    </row>
    <row r="1098" spans="1:9" x14ac:dyDescent="0.3">
      <c r="A1098" s="1">
        <v>45931</v>
      </c>
      <c r="B1098" t="s">
        <v>68</v>
      </c>
      <c r="C1098" t="s">
        <v>36</v>
      </c>
      <c r="D1098">
        <v>1.92</v>
      </c>
      <c r="E1098">
        <v>128.78</v>
      </c>
      <c r="F1098">
        <v>0.01</v>
      </c>
      <c r="G1098">
        <v>0</v>
      </c>
      <c r="H1098">
        <v>671</v>
      </c>
      <c r="I1098">
        <v>42</v>
      </c>
    </row>
    <row r="1099" spans="1:9" x14ac:dyDescent="0.3">
      <c r="A1099" s="1">
        <v>45931</v>
      </c>
      <c r="B1099" t="s">
        <v>98</v>
      </c>
      <c r="C1099" t="s">
        <v>36</v>
      </c>
      <c r="D1099">
        <v>1.77</v>
      </c>
      <c r="E1099">
        <v>137.63</v>
      </c>
      <c r="F1099">
        <v>0.01</v>
      </c>
      <c r="G1099">
        <v>0.01</v>
      </c>
      <c r="H1099">
        <v>778</v>
      </c>
      <c r="I1099">
        <v>43</v>
      </c>
    </row>
    <row r="1100" spans="1:9" x14ac:dyDescent="0.3">
      <c r="A1100" s="1">
        <v>45931</v>
      </c>
      <c r="B1100" t="s">
        <v>80</v>
      </c>
      <c r="C1100" t="s">
        <v>36</v>
      </c>
      <c r="D1100">
        <v>1.58</v>
      </c>
      <c r="E1100">
        <v>224.25</v>
      </c>
      <c r="F1100">
        <v>0.01</v>
      </c>
      <c r="G1100">
        <v>0.01</v>
      </c>
      <c r="H1100">
        <v>1419</v>
      </c>
      <c r="I1100">
        <v>44</v>
      </c>
    </row>
    <row r="1101" spans="1:9" x14ac:dyDescent="0.3">
      <c r="A1101" s="1">
        <v>45931</v>
      </c>
      <c r="B1101" t="s">
        <v>76</v>
      </c>
      <c r="C1101" t="s">
        <v>36</v>
      </c>
      <c r="D1101">
        <v>1.5</v>
      </c>
      <c r="E1101">
        <v>170.25</v>
      </c>
      <c r="F1101">
        <v>0.01</v>
      </c>
      <c r="G1101">
        <v>0.01</v>
      </c>
      <c r="H1101">
        <v>1135</v>
      </c>
      <c r="I1101">
        <v>45</v>
      </c>
    </row>
    <row r="1102" spans="1:9" x14ac:dyDescent="0.3">
      <c r="A1102" s="1">
        <v>45931</v>
      </c>
      <c r="B1102" t="s">
        <v>64</v>
      </c>
      <c r="C1102" t="s">
        <v>36</v>
      </c>
      <c r="D1102">
        <v>1.49</v>
      </c>
      <c r="E1102">
        <v>448.46</v>
      </c>
      <c r="F1102">
        <v>0.01</v>
      </c>
      <c r="G1102">
        <v>0.02</v>
      </c>
      <c r="H1102">
        <v>3010</v>
      </c>
      <c r="I1102">
        <v>46</v>
      </c>
    </row>
    <row r="1103" spans="1:9" x14ac:dyDescent="0.3">
      <c r="A1103" s="1">
        <v>45931</v>
      </c>
      <c r="B1103" t="s">
        <v>81</v>
      </c>
      <c r="C1103" t="s">
        <v>36</v>
      </c>
      <c r="D1103">
        <v>1.43</v>
      </c>
      <c r="E1103">
        <v>121.39</v>
      </c>
      <c r="F1103">
        <v>0.01</v>
      </c>
      <c r="G1103">
        <v>0</v>
      </c>
      <c r="H1103">
        <v>849</v>
      </c>
      <c r="I1103">
        <v>47</v>
      </c>
    </row>
    <row r="1104" spans="1:9" x14ac:dyDescent="0.3">
      <c r="A1104" s="1">
        <v>45931</v>
      </c>
      <c r="B1104" t="s">
        <v>112</v>
      </c>
      <c r="C1104" t="s">
        <v>36</v>
      </c>
      <c r="D1104">
        <v>1.38</v>
      </c>
      <c r="E1104">
        <v>105.13</v>
      </c>
      <c r="F1104">
        <v>0.01</v>
      </c>
      <c r="G1104">
        <v>0</v>
      </c>
      <c r="H1104">
        <v>762</v>
      </c>
      <c r="I1104">
        <v>48</v>
      </c>
    </row>
    <row r="1105" spans="1:9" x14ac:dyDescent="0.3">
      <c r="A1105" s="1">
        <v>45931</v>
      </c>
      <c r="B1105" t="s">
        <v>79</v>
      </c>
      <c r="C1105" t="s">
        <v>36</v>
      </c>
      <c r="D1105">
        <v>1.1399999999999999</v>
      </c>
      <c r="E1105">
        <v>409.7</v>
      </c>
      <c r="F1105">
        <v>0.01</v>
      </c>
      <c r="G1105">
        <v>0.02</v>
      </c>
      <c r="H1105">
        <v>3594</v>
      </c>
      <c r="I1105">
        <v>49</v>
      </c>
    </row>
    <row r="1106" spans="1:9" x14ac:dyDescent="0.3">
      <c r="A1106" s="1">
        <v>45931</v>
      </c>
      <c r="B1106" t="s">
        <v>109</v>
      </c>
      <c r="C1106" t="s">
        <v>36</v>
      </c>
      <c r="D1106">
        <v>0.97</v>
      </c>
      <c r="E1106">
        <v>98.21</v>
      </c>
      <c r="F1106">
        <v>0</v>
      </c>
      <c r="G1106">
        <v>0</v>
      </c>
      <c r="H1106">
        <v>1012</v>
      </c>
      <c r="I1106">
        <v>50</v>
      </c>
    </row>
    <row r="1107" spans="1:9" x14ac:dyDescent="0.3">
      <c r="A1107" s="1">
        <v>45931</v>
      </c>
      <c r="B1107" t="s">
        <v>77</v>
      </c>
      <c r="C1107" t="s">
        <v>36</v>
      </c>
      <c r="D1107">
        <v>0.91</v>
      </c>
      <c r="E1107">
        <v>82.72</v>
      </c>
      <c r="F1107">
        <v>0</v>
      </c>
      <c r="G1107">
        <v>0</v>
      </c>
      <c r="H1107">
        <v>909</v>
      </c>
      <c r="I1107">
        <v>51</v>
      </c>
    </row>
    <row r="1108" spans="1:9" x14ac:dyDescent="0.3">
      <c r="A1108" s="1">
        <v>45931</v>
      </c>
      <c r="B1108" t="s">
        <v>74</v>
      </c>
      <c r="C1108" t="s">
        <v>36</v>
      </c>
      <c r="D1108">
        <v>0.87</v>
      </c>
      <c r="E1108">
        <v>259.64999999999998</v>
      </c>
      <c r="F1108">
        <v>0</v>
      </c>
      <c r="G1108">
        <v>0.01</v>
      </c>
      <c r="H1108">
        <v>2984</v>
      </c>
      <c r="I1108">
        <v>52</v>
      </c>
    </row>
    <row r="1109" spans="1:9" x14ac:dyDescent="0.3">
      <c r="A1109" s="1">
        <v>45931</v>
      </c>
      <c r="B1109" t="s">
        <v>100</v>
      </c>
      <c r="C1109" t="s">
        <v>36</v>
      </c>
      <c r="D1109">
        <v>0.73</v>
      </c>
      <c r="E1109">
        <v>904.13</v>
      </c>
      <c r="F1109">
        <v>0</v>
      </c>
      <c r="G1109">
        <v>0.03</v>
      </c>
      <c r="H1109">
        <v>12385</v>
      </c>
      <c r="I1109">
        <v>53</v>
      </c>
    </row>
    <row r="1110" spans="1:9" x14ac:dyDescent="0.3">
      <c r="A1110" s="1">
        <v>45931</v>
      </c>
      <c r="B1110" t="s">
        <v>73</v>
      </c>
      <c r="C1110" t="s">
        <v>36</v>
      </c>
      <c r="D1110">
        <v>0.73</v>
      </c>
      <c r="E1110">
        <v>225.05</v>
      </c>
      <c r="F1110">
        <v>0</v>
      </c>
      <c r="G1110">
        <v>0.01</v>
      </c>
      <c r="H1110">
        <v>3083</v>
      </c>
      <c r="I1110">
        <v>53</v>
      </c>
    </row>
    <row r="1111" spans="1:9" x14ac:dyDescent="0.3">
      <c r="A1111" s="1">
        <v>45931</v>
      </c>
      <c r="B1111" t="s">
        <v>78</v>
      </c>
      <c r="C1111" t="s">
        <v>36</v>
      </c>
      <c r="D1111">
        <v>0.71</v>
      </c>
      <c r="E1111">
        <v>246.67</v>
      </c>
      <c r="F1111">
        <v>0</v>
      </c>
      <c r="G1111">
        <v>0.01</v>
      </c>
      <c r="H1111">
        <v>3474</v>
      </c>
      <c r="I1111">
        <v>55</v>
      </c>
    </row>
    <row r="1112" spans="1:9" x14ac:dyDescent="0.3">
      <c r="A1112" s="1">
        <v>45931</v>
      </c>
      <c r="B1112" t="s">
        <v>114</v>
      </c>
      <c r="C1112" t="s">
        <v>36</v>
      </c>
      <c r="D1112">
        <v>0.63</v>
      </c>
      <c r="E1112">
        <v>56.41</v>
      </c>
      <c r="F1112">
        <v>0</v>
      </c>
      <c r="G1112">
        <v>0</v>
      </c>
      <c r="H1112">
        <v>895</v>
      </c>
      <c r="I1112">
        <v>56</v>
      </c>
    </row>
    <row r="1113" spans="1:9" x14ac:dyDescent="0.3">
      <c r="A1113" s="1">
        <v>45931</v>
      </c>
      <c r="B1113" t="s">
        <v>75</v>
      </c>
      <c r="C1113" t="s">
        <v>36</v>
      </c>
      <c r="D1113">
        <v>0.61</v>
      </c>
      <c r="E1113">
        <v>217.83</v>
      </c>
      <c r="F1113">
        <v>0</v>
      </c>
      <c r="G1113">
        <v>0.01</v>
      </c>
      <c r="H1113">
        <v>3571</v>
      </c>
      <c r="I1113">
        <v>57</v>
      </c>
    </row>
    <row r="1114" spans="1:9" x14ac:dyDescent="0.3">
      <c r="A1114" s="1">
        <v>45931</v>
      </c>
      <c r="B1114" t="s">
        <v>84</v>
      </c>
      <c r="C1114" t="s">
        <v>36</v>
      </c>
      <c r="D1114">
        <v>0.59</v>
      </c>
      <c r="E1114">
        <v>161.03</v>
      </c>
      <c r="F1114">
        <v>0</v>
      </c>
      <c r="G1114">
        <v>0.01</v>
      </c>
      <c r="H1114">
        <v>2729</v>
      </c>
      <c r="I1114">
        <v>58</v>
      </c>
    </row>
    <row r="1115" spans="1:9" x14ac:dyDescent="0.3">
      <c r="A1115" s="1">
        <v>45931</v>
      </c>
      <c r="B1115" t="s">
        <v>85</v>
      </c>
      <c r="C1115" t="s">
        <v>36</v>
      </c>
      <c r="D1115">
        <v>0.5</v>
      </c>
      <c r="E1115">
        <v>167.09</v>
      </c>
      <c r="F1115">
        <v>0</v>
      </c>
      <c r="G1115">
        <v>0.01</v>
      </c>
      <c r="H1115">
        <v>3342</v>
      </c>
      <c r="I1115">
        <v>59</v>
      </c>
    </row>
    <row r="1116" spans="1:9" x14ac:dyDescent="0.3">
      <c r="A1116" s="1">
        <v>45931</v>
      </c>
      <c r="B1116" t="s">
        <v>122</v>
      </c>
      <c r="C1116" t="s">
        <v>36</v>
      </c>
      <c r="D1116">
        <v>0.5</v>
      </c>
      <c r="E1116">
        <v>13.9</v>
      </c>
      <c r="F1116">
        <v>0</v>
      </c>
      <c r="G1116">
        <v>0</v>
      </c>
      <c r="H1116">
        <v>278</v>
      </c>
      <c r="I1116">
        <v>59</v>
      </c>
    </row>
    <row r="1117" spans="1:9" x14ac:dyDescent="0.3">
      <c r="A1117" s="1">
        <v>45931</v>
      </c>
      <c r="B1117" t="s">
        <v>102</v>
      </c>
      <c r="C1117" t="s">
        <v>36</v>
      </c>
      <c r="D1117">
        <v>0.48</v>
      </c>
      <c r="E1117">
        <v>24.33</v>
      </c>
      <c r="F1117">
        <v>0</v>
      </c>
      <c r="G1117">
        <v>0</v>
      </c>
      <c r="H1117">
        <v>507</v>
      </c>
      <c r="I1117">
        <v>61</v>
      </c>
    </row>
    <row r="1118" spans="1:9" x14ac:dyDescent="0.3">
      <c r="A1118" s="1">
        <v>45931</v>
      </c>
      <c r="B1118" t="s">
        <v>121</v>
      </c>
      <c r="C1118" t="s">
        <v>36</v>
      </c>
      <c r="D1118">
        <v>0.46</v>
      </c>
      <c r="E1118">
        <v>10.67</v>
      </c>
      <c r="F1118">
        <v>0</v>
      </c>
      <c r="G1118">
        <v>0</v>
      </c>
      <c r="H1118">
        <v>232</v>
      </c>
      <c r="I1118">
        <v>62</v>
      </c>
    </row>
    <row r="1119" spans="1:9" x14ac:dyDescent="0.3">
      <c r="A1119" s="1">
        <v>45931</v>
      </c>
      <c r="B1119" t="s">
        <v>72</v>
      </c>
      <c r="C1119" t="s">
        <v>36</v>
      </c>
      <c r="D1119">
        <v>0.42</v>
      </c>
      <c r="E1119">
        <v>21.45</v>
      </c>
      <c r="F1119">
        <v>0</v>
      </c>
      <c r="G1119">
        <v>0</v>
      </c>
      <c r="H1119">
        <v>511</v>
      </c>
      <c r="I1119">
        <v>63</v>
      </c>
    </row>
    <row r="1120" spans="1:9" x14ac:dyDescent="0.3">
      <c r="A1120" s="1">
        <v>45931</v>
      </c>
      <c r="B1120" t="s">
        <v>70</v>
      </c>
      <c r="C1120" t="s">
        <v>36</v>
      </c>
      <c r="D1120">
        <v>0.4</v>
      </c>
      <c r="E1120">
        <v>115.39</v>
      </c>
      <c r="F1120">
        <v>0</v>
      </c>
      <c r="G1120">
        <v>0</v>
      </c>
      <c r="H1120">
        <v>2885</v>
      </c>
      <c r="I1120">
        <v>64</v>
      </c>
    </row>
    <row r="1121" spans="1:9" x14ac:dyDescent="0.3">
      <c r="A1121" s="1">
        <v>45931</v>
      </c>
      <c r="B1121" t="s">
        <v>89</v>
      </c>
      <c r="C1121" t="s">
        <v>36</v>
      </c>
      <c r="D1121">
        <v>0.33</v>
      </c>
      <c r="E1121">
        <v>107.21</v>
      </c>
      <c r="F1121">
        <v>0</v>
      </c>
      <c r="G1121">
        <v>0</v>
      </c>
      <c r="H1121">
        <v>3249</v>
      </c>
      <c r="I1121">
        <v>65</v>
      </c>
    </row>
    <row r="1122" spans="1:9" x14ac:dyDescent="0.3">
      <c r="A1122" s="1">
        <v>45931</v>
      </c>
      <c r="B1122" t="s">
        <v>113</v>
      </c>
      <c r="C1122" t="s">
        <v>36</v>
      </c>
      <c r="D1122">
        <v>0.33</v>
      </c>
      <c r="E1122">
        <v>31.47</v>
      </c>
      <c r="F1122">
        <v>0</v>
      </c>
      <c r="G1122">
        <v>0</v>
      </c>
      <c r="H1122">
        <v>954</v>
      </c>
      <c r="I1122">
        <v>65</v>
      </c>
    </row>
    <row r="1123" spans="1:9" x14ac:dyDescent="0.3">
      <c r="A1123" s="1">
        <v>45931</v>
      </c>
      <c r="B1123" t="s">
        <v>87</v>
      </c>
      <c r="C1123" t="s">
        <v>36</v>
      </c>
      <c r="D1123">
        <v>0.28999999999999998</v>
      </c>
      <c r="E1123">
        <v>120.33</v>
      </c>
      <c r="F1123">
        <v>0</v>
      </c>
      <c r="G1123">
        <v>0</v>
      </c>
      <c r="H1123">
        <v>4149</v>
      </c>
      <c r="I1123">
        <v>67</v>
      </c>
    </row>
    <row r="1124" spans="1:9" x14ac:dyDescent="0.3">
      <c r="A1124" s="1">
        <v>45931</v>
      </c>
      <c r="B1124" t="s">
        <v>97</v>
      </c>
      <c r="C1124" t="s">
        <v>36</v>
      </c>
      <c r="D1124">
        <v>0.26</v>
      </c>
      <c r="E1124">
        <v>27.54</v>
      </c>
      <c r="F1124">
        <v>0</v>
      </c>
      <c r="G1124">
        <v>0</v>
      </c>
      <c r="H1124">
        <v>1059</v>
      </c>
      <c r="I1124">
        <v>68</v>
      </c>
    </row>
    <row r="1125" spans="1:9" x14ac:dyDescent="0.3">
      <c r="A1125" s="1">
        <v>45931</v>
      </c>
      <c r="B1125" t="s">
        <v>88</v>
      </c>
      <c r="C1125" t="s">
        <v>36</v>
      </c>
      <c r="D1125">
        <v>0.26</v>
      </c>
      <c r="E1125">
        <v>62.55</v>
      </c>
      <c r="F1125">
        <v>0</v>
      </c>
      <c r="G1125">
        <v>0</v>
      </c>
      <c r="H1125">
        <v>2406</v>
      </c>
      <c r="I1125">
        <v>68</v>
      </c>
    </row>
    <row r="1126" spans="1:9" x14ac:dyDescent="0.3">
      <c r="A1126" s="1">
        <v>45931</v>
      </c>
      <c r="B1126" t="s">
        <v>90</v>
      </c>
      <c r="C1126" t="s">
        <v>36</v>
      </c>
      <c r="D1126">
        <v>0.24</v>
      </c>
      <c r="E1126">
        <v>10.84</v>
      </c>
      <c r="F1126">
        <v>0</v>
      </c>
      <c r="G1126">
        <v>0</v>
      </c>
      <c r="H1126">
        <v>452</v>
      </c>
      <c r="I1126">
        <v>70</v>
      </c>
    </row>
    <row r="1127" spans="1:9" x14ac:dyDescent="0.3">
      <c r="A1127" s="1">
        <v>45931</v>
      </c>
      <c r="B1127" t="s">
        <v>86</v>
      </c>
      <c r="C1127" t="s">
        <v>36</v>
      </c>
      <c r="D1127">
        <v>0.21</v>
      </c>
      <c r="E1127">
        <v>59.47</v>
      </c>
      <c r="F1127">
        <v>0</v>
      </c>
      <c r="G1127">
        <v>0</v>
      </c>
      <c r="H1127">
        <v>2832</v>
      </c>
      <c r="I1127">
        <v>71</v>
      </c>
    </row>
    <row r="1128" spans="1:9" x14ac:dyDescent="0.3">
      <c r="A1128" s="1">
        <v>45931</v>
      </c>
      <c r="B1128" t="s">
        <v>93</v>
      </c>
      <c r="C1128" t="s">
        <v>36</v>
      </c>
      <c r="D1128">
        <v>0.17</v>
      </c>
      <c r="E1128">
        <v>75.41</v>
      </c>
      <c r="F1128">
        <v>0</v>
      </c>
      <c r="G1128">
        <v>0</v>
      </c>
      <c r="H1128">
        <v>4436</v>
      </c>
      <c r="I1128">
        <v>72</v>
      </c>
    </row>
    <row r="1129" spans="1:9" x14ac:dyDescent="0.3">
      <c r="A1129" s="1">
        <v>45931</v>
      </c>
      <c r="B1129" t="s">
        <v>99</v>
      </c>
      <c r="C1129" t="s">
        <v>36</v>
      </c>
      <c r="D1129">
        <v>0.15</v>
      </c>
      <c r="E1129">
        <v>5.04</v>
      </c>
      <c r="F1129">
        <v>0</v>
      </c>
      <c r="G1129">
        <v>0</v>
      </c>
      <c r="H1129">
        <v>336</v>
      </c>
      <c r="I1129">
        <v>73</v>
      </c>
    </row>
    <row r="1130" spans="1:9" x14ac:dyDescent="0.3">
      <c r="A1130" s="1">
        <v>45931</v>
      </c>
      <c r="B1130" t="s">
        <v>117</v>
      </c>
      <c r="C1130" t="s">
        <v>36</v>
      </c>
      <c r="D1130">
        <v>0.14000000000000001</v>
      </c>
      <c r="E1130">
        <v>21.43</v>
      </c>
      <c r="F1130">
        <v>0</v>
      </c>
      <c r="G1130">
        <v>0</v>
      </c>
      <c r="H1130">
        <v>1531</v>
      </c>
      <c r="I1130">
        <v>74</v>
      </c>
    </row>
    <row r="1131" spans="1:9" x14ac:dyDescent="0.3">
      <c r="A1131" s="1">
        <v>45931</v>
      </c>
      <c r="B1131" t="s">
        <v>101</v>
      </c>
      <c r="C1131" t="s">
        <v>36</v>
      </c>
      <c r="D1131">
        <v>0.12</v>
      </c>
      <c r="E1131">
        <v>44.87</v>
      </c>
      <c r="F1131">
        <v>0</v>
      </c>
      <c r="G1131">
        <v>0</v>
      </c>
      <c r="H1131">
        <v>3739</v>
      </c>
      <c r="I1131">
        <v>75</v>
      </c>
    </row>
    <row r="1132" spans="1:9" x14ac:dyDescent="0.3">
      <c r="A1132" s="1">
        <v>45931</v>
      </c>
      <c r="B1132" t="s">
        <v>123</v>
      </c>
      <c r="C1132" t="s">
        <v>36</v>
      </c>
      <c r="D1132">
        <v>0.1</v>
      </c>
      <c r="E1132">
        <v>10.9</v>
      </c>
      <c r="F1132">
        <v>0</v>
      </c>
      <c r="G1132">
        <v>0</v>
      </c>
      <c r="H1132">
        <v>1090</v>
      </c>
      <c r="I1132">
        <v>76</v>
      </c>
    </row>
    <row r="1133" spans="1:9" x14ac:dyDescent="0.3">
      <c r="A1133" s="1">
        <v>45931</v>
      </c>
      <c r="B1133" t="s">
        <v>96</v>
      </c>
      <c r="C1133" t="s">
        <v>36</v>
      </c>
      <c r="D1133">
        <v>0.1</v>
      </c>
      <c r="E1133">
        <v>35.99</v>
      </c>
      <c r="F1133">
        <v>0</v>
      </c>
      <c r="G1133">
        <v>0</v>
      </c>
      <c r="H1133">
        <v>3599</v>
      </c>
      <c r="I1133">
        <v>76</v>
      </c>
    </row>
    <row r="1134" spans="1:9" x14ac:dyDescent="0.3">
      <c r="A1134" s="1">
        <v>45931</v>
      </c>
      <c r="B1134" t="s">
        <v>91</v>
      </c>
      <c r="C1134" t="s">
        <v>36</v>
      </c>
      <c r="D1134">
        <v>0.09</v>
      </c>
      <c r="E1134">
        <v>6.99</v>
      </c>
      <c r="F1134">
        <v>0</v>
      </c>
      <c r="G1134">
        <v>0</v>
      </c>
      <c r="H1134">
        <v>777</v>
      </c>
      <c r="I1134">
        <v>78</v>
      </c>
    </row>
    <row r="1135" spans="1:9" x14ac:dyDescent="0.3">
      <c r="A1135" s="1">
        <v>45931</v>
      </c>
      <c r="B1135" t="s">
        <v>118</v>
      </c>
      <c r="C1135" t="s">
        <v>36</v>
      </c>
      <c r="D1135">
        <v>0.08</v>
      </c>
      <c r="E1135">
        <v>25.74</v>
      </c>
      <c r="F1135">
        <v>0</v>
      </c>
      <c r="G1135">
        <v>0</v>
      </c>
      <c r="H1135">
        <v>3218</v>
      </c>
      <c r="I1135">
        <v>79</v>
      </c>
    </row>
    <row r="1136" spans="1:9" x14ac:dyDescent="0.3">
      <c r="A1136" s="1">
        <v>45931</v>
      </c>
      <c r="B1136" t="s">
        <v>95</v>
      </c>
      <c r="C1136" t="s">
        <v>36</v>
      </c>
      <c r="D1136">
        <v>0.08</v>
      </c>
      <c r="E1136">
        <v>32.76</v>
      </c>
      <c r="F1136">
        <v>0</v>
      </c>
      <c r="G1136">
        <v>0</v>
      </c>
      <c r="H1136">
        <v>4095</v>
      </c>
      <c r="I1136">
        <v>79</v>
      </c>
    </row>
    <row r="1137" spans="1:9" x14ac:dyDescent="0.3">
      <c r="A1137" s="1">
        <v>45931</v>
      </c>
      <c r="B1137" t="s">
        <v>119</v>
      </c>
      <c r="C1137" t="s">
        <v>36</v>
      </c>
      <c r="D1137">
        <v>7.0000000000000007E-2</v>
      </c>
      <c r="E1137">
        <v>5.97</v>
      </c>
      <c r="F1137">
        <v>0</v>
      </c>
      <c r="G1137">
        <v>0</v>
      </c>
      <c r="H1137">
        <v>853</v>
      </c>
      <c r="I1137">
        <v>81</v>
      </c>
    </row>
    <row r="1138" spans="1:9" x14ac:dyDescent="0.3">
      <c r="A1138" s="1">
        <v>45931</v>
      </c>
      <c r="B1138" t="s">
        <v>104</v>
      </c>
      <c r="C1138" t="s">
        <v>36</v>
      </c>
      <c r="D1138">
        <v>0.04</v>
      </c>
      <c r="E1138">
        <v>14.19</v>
      </c>
      <c r="F1138">
        <v>0</v>
      </c>
      <c r="G1138">
        <v>0</v>
      </c>
      <c r="H1138">
        <v>3548</v>
      </c>
      <c r="I1138">
        <v>82</v>
      </c>
    </row>
    <row r="1139" spans="1:9" x14ac:dyDescent="0.3">
      <c r="A1139" s="1">
        <v>45931</v>
      </c>
      <c r="B1139" t="s">
        <v>103</v>
      </c>
      <c r="C1139" t="s">
        <v>36</v>
      </c>
      <c r="D1139">
        <v>0.03</v>
      </c>
      <c r="E1139">
        <v>2.1</v>
      </c>
      <c r="F1139">
        <v>0</v>
      </c>
      <c r="G1139">
        <v>0</v>
      </c>
      <c r="H1139">
        <v>700</v>
      </c>
      <c r="I1139">
        <v>83</v>
      </c>
    </row>
    <row r="1140" spans="1:9" x14ac:dyDescent="0.3">
      <c r="A1140" s="1">
        <v>45931</v>
      </c>
      <c r="B1140" t="s">
        <v>116</v>
      </c>
      <c r="C1140" t="s">
        <v>36</v>
      </c>
      <c r="D1140">
        <v>0.03</v>
      </c>
      <c r="E1140">
        <v>9.4600000000000009</v>
      </c>
      <c r="F1140">
        <v>0</v>
      </c>
      <c r="G1140">
        <v>0</v>
      </c>
      <c r="H1140">
        <v>3153</v>
      </c>
      <c r="I1140">
        <v>83</v>
      </c>
    </row>
    <row r="1141" spans="1:9" x14ac:dyDescent="0.3">
      <c r="A1141" s="1">
        <v>45931</v>
      </c>
      <c r="B1141" t="s">
        <v>105</v>
      </c>
      <c r="C1141" t="s">
        <v>36</v>
      </c>
      <c r="D1141">
        <v>0.02</v>
      </c>
      <c r="E1141">
        <v>7.76</v>
      </c>
      <c r="F1141">
        <v>0</v>
      </c>
      <c r="G1141">
        <v>0</v>
      </c>
      <c r="H1141">
        <v>3880</v>
      </c>
      <c r="I1141">
        <v>85</v>
      </c>
    </row>
    <row r="1142" spans="1:9" x14ac:dyDescent="0.3">
      <c r="A1142" s="1">
        <v>45931</v>
      </c>
      <c r="B1142" t="s">
        <v>120</v>
      </c>
      <c r="C1142" t="s">
        <v>36</v>
      </c>
      <c r="D1142">
        <v>0.02</v>
      </c>
      <c r="E1142">
        <v>5.64</v>
      </c>
      <c r="F1142">
        <v>0</v>
      </c>
      <c r="G1142">
        <v>0</v>
      </c>
      <c r="H1142">
        <v>2820</v>
      </c>
      <c r="I1142">
        <v>85</v>
      </c>
    </row>
    <row r="1143" spans="1:9" x14ac:dyDescent="0.3">
      <c r="A1143" s="1">
        <v>45962</v>
      </c>
      <c r="B1143" t="s">
        <v>32</v>
      </c>
      <c r="C1143" t="s">
        <v>32</v>
      </c>
      <c r="D1143">
        <v>9322.2900000000009</v>
      </c>
      <c r="E1143">
        <v>1274723.47</v>
      </c>
      <c r="F1143">
        <v>45.55</v>
      </c>
      <c r="G1143">
        <v>48.44</v>
      </c>
      <c r="H1143">
        <v>1367</v>
      </c>
      <c r="I1143">
        <v>1</v>
      </c>
    </row>
    <row r="1144" spans="1:9" x14ac:dyDescent="0.3">
      <c r="A1144" s="1">
        <v>45962</v>
      </c>
      <c r="B1144" t="s">
        <v>33</v>
      </c>
      <c r="C1144" t="s">
        <v>33</v>
      </c>
      <c r="D1144">
        <v>7020.94</v>
      </c>
      <c r="E1144">
        <v>905445.37</v>
      </c>
      <c r="F1144">
        <v>34.299999999999997</v>
      </c>
      <c r="G1144">
        <v>34.409999999999997</v>
      </c>
      <c r="H1144">
        <v>1290</v>
      </c>
      <c r="I1144">
        <v>2</v>
      </c>
    </row>
    <row r="1145" spans="1:9" x14ac:dyDescent="0.3">
      <c r="A1145" s="1">
        <v>45962</v>
      </c>
      <c r="B1145" t="s">
        <v>34</v>
      </c>
      <c r="C1145" t="s">
        <v>34</v>
      </c>
      <c r="D1145">
        <v>1518.95</v>
      </c>
      <c r="E1145">
        <v>163210.19</v>
      </c>
      <c r="F1145">
        <v>7.42</v>
      </c>
      <c r="G1145">
        <v>6.2</v>
      </c>
      <c r="H1145">
        <v>1074</v>
      </c>
      <c r="I1145">
        <v>3</v>
      </c>
    </row>
    <row r="1146" spans="1:9" x14ac:dyDescent="0.3">
      <c r="A1146" s="1">
        <v>45962</v>
      </c>
      <c r="B1146" t="s">
        <v>37</v>
      </c>
      <c r="C1146" t="s">
        <v>36</v>
      </c>
      <c r="D1146">
        <v>606.61</v>
      </c>
      <c r="E1146">
        <v>32180.799999999999</v>
      </c>
      <c r="F1146">
        <v>2.96</v>
      </c>
      <c r="G1146">
        <v>1.22</v>
      </c>
      <c r="H1146">
        <v>531</v>
      </c>
      <c r="I1146">
        <v>4</v>
      </c>
    </row>
    <row r="1147" spans="1:9" x14ac:dyDescent="0.3">
      <c r="A1147" s="1">
        <v>45962</v>
      </c>
      <c r="B1147" t="s">
        <v>47</v>
      </c>
      <c r="C1147" t="s">
        <v>36</v>
      </c>
      <c r="D1147">
        <v>265.07</v>
      </c>
      <c r="E1147">
        <v>10569.55</v>
      </c>
      <c r="F1147">
        <v>1.3</v>
      </c>
      <c r="G1147">
        <v>0.4</v>
      </c>
      <c r="H1147">
        <v>399</v>
      </c>
      <c r="I1147">
        <v>5</v>
      </c>
    </row>
    <row r="1148" spans="1:9" x14ac:dyDescent="0.3">
      <c r="A1148" s="1">
        <v>45962</v>
      </c>
      <c r="B1148" t="s">
        <v>35</v>
      </c>
      <c r="C1148" t="s">
        <v>36</v>
      </c>
      <c r="D1148">
        <v>153.54</v>
      </c>
      <c r="E1148">
        <v>59261.16</v>
      </c>
      <c r="F1148">
        <v>0.75</v>
      </c>
      <c r="G1148">
        <v>2.25</v>
      </c>
      <c r="H1148">
        <v>3860</v>
      </c>
      <c r="I1148">
        <v>6</v>
      </c>
    </row>
    <row r="1149" spans="1:9" x14ac:dyDescent="0.3">
      <c r="A1149" s="1">
        <v>45962</v>
      </c>
      <c r="B1149" t="s">
        <v>40</v>
      </c>
      <c r="C1149" t="s">
        <v>36</v>
      </c>
      <c r="D1149">
        <v>149.79</v>
      </c>
      <c r="E1149">
        <v>1867.72</v>
      </c>
      <c r="F1149">
        <v>0.73</v>
      </c>
      <c r="G1149">
        <v>7.0000000000000007E-2</v>
      </c>
      <c r="H1149">
        <v>125</v>
      </c>
      <c r="I1149">
        <v>7</v>
      </c>
    </row>
    <row r="1150" spans="1:9" x14ac:dyDescent="0.3">
      <c r="A1150" s="1">
        <v>45962</v>
      </c>
      <c r="B1150" t="s">
        <v>46</v>
      </c>
      <c r="C1150" t="s">
        <v>36</v>
      </c>
      <c r="D1150">
        <v>139.11000000000001</v>
      </c>
      <c r="E1150">
        <v>18280.830000000002</v>
      </c>
      <c r="F1150">
        <v>0.68</v>
      </c>
      <c r="G1150">
        <v>0.69</v>
      </c>
      <c r="H1150">
        <v>1314</v>
      </c>
      <c r="I1150">
        <v>8</v>
      </c>
    </row>
    <row r="1151" spans="1:9" x14ac:dyDescent="0.3">
      <c r="A1151" s="1">
        <v>45962</v>
      </c>
      <c r="B1151" t="s">
        <v>38</v>
      </c>
      <c r="C1151" t="s">
        <v>36</v>
      </c>
      <c r="D1151">
        <v>133.63</v>
      </c>
      <c r="E1151">
        <v>15515.97</v>
      </c>
      <c r="F1151">
        <v>0.65</v>
      </c>
      <c r="G1151">
        <v>0.59</v>
      </c>
      <c r="H1151">
        <v>1161</v>
      </c>
      <c r="I1151">
        <v>9</v>
      </c>
    </row>
    <row r="1152" spans="1:9" x14ac:dyDescent="0.3">
      <c r="A1152" s="1">
        <v>45962</v>
      </c>
      <c r="B1152" t="s">
        <v>42</v>
      </c>
      <c r="C1152" t="s">
        <v>36</v>
      </c>
      <c r="D1152">
        <v>87.06</v>
      </c>
      <c r="E1152">
        <v>7168.01</v>
      </c>
      <c r="F1152">
        <v>0.43</v>
      </c>
      <c r="G1152">
        <v>0.27</v>
      </c>
      <c r="H1152">
        <v>823</v>
      </c>
      <c r="I1152">
        <v>10</v>
      </c>
    </row>
    <row r="1153" spans="1:9" x14ac:dyDescent="0.3">
      <c r="A1153" s="1">
        <v>45962</v>
      </c>
      <c r="B1153" t="s">
        <v>39</v>
      </c>
      <c r="C1153" t="s">
        <v>36</v>
      </c>
      <c r="D1153">
        <v>86.58</v>
      </c>
      <c r="E1153">
        <v>9909.89</v>
      </c>
      <c r="F1153">
        <v>0.42</v>
      </c>
      <c r="G1153">
        <v>0.38</v>
      </c>
      <c r="H1153">
        <v>1145</v>
      </c>
      <c r="I1153">
        <v>11</v>
      </c>
    </row>
    <row r="1154" spans="1:9" x14ac:dyDescent="0.3">
      <c r="A1154" s="1">
        <v>45962</v>
      </c>
      <c r="B1154" t="s">
        <v>43</v>
      </c>
      <c r="C1154" t="s">
        <v>36</v>
      </c>
      <c r="D1154">
        <v>86.37</v>
      </c>
      <c r="E1154">
        <v>10393.450000000001</v>
      </c>
      <c r="F1154">
        <v>0.42</v>
      </c>
      <c r="G1154">
        <v>0.39</v>
      </c>
      <c r="H1154">
        <v>1203</v>
      </c>
      <c r="I1154">
        <v>12</v>
      </c>
    </row>
    <row r="1155" spans="1:9" x14ac:dyDescent="0.3">
      <c r="A1155" s="1">
        <v>45962</v>
      </c>
      <c r="B1155" t="s">
        <v>44</v>
      </c>
      <c r="C1155" t="s">
        <v>36</v>
      </c>
      <c r="D1155">
        <v>73.569999999999993</v>
      </c>
      <c r="E1155">
        <v>16795.79</v>
      </c>
      <c r="F1155">
        <v>0.36</v>
      </c>
      <c r="G1155">
        <v>0.64</v>
      </c>
      <c r="H1155">
        <v>2283</v>
      </c>
      <c r="I1155">
        <v>13</v>
      </c>
    </row>
    <row r="1156" spans="1:9" x14ac:dyDescent="0.3">
      <c r="A1156" s="1">
        <v>45962</v>
      </c>
      <c r="B1156" t="s">
        <v>41</v>
      </c>
      <c r="C1156" t="s">
        <v>36</v>
      </c>
      <c r="D1156">
        <v>65.739999999999995</v>
      </c>
      <c r="E1156">
        <v>17156.919999999998</v>
      </c>
      <c r="F1156">
        <v>0.32</v>
      </c>
      <c r="G1156">
        <v>0.65</v>
      </c>
      <c r="H1156">
        <v>2610</v>
      </c>
      <c r="I1156">
        <v>14</v>
      </c>
    </row>
    <row r="1157" spans="1:9" x14ac:dyDescent="0.3">
      <c r="A1157" s="1">
        <v>45962</v>
      </c>
      <c r="B1157" t="s">
        <v>49</v>
      </c>
      <c r="C1157" t="s">
        <v>36</v>
      </c>
      <c r="D1157">
        <v>56.52</v>
      </c>
      <c r="E1157">
        <v>6916.48</v>
      </c>
      <c r="F1157">
        <v>0.28000000000000003</v>
      </c>
      <c r="G1157">
        <v>0.26</v>
      </c>
      <c r="H1157">
        <v>1224</v>
      </c>
      <c r="I1157">
        <v>15</v>
      </c>
    </row>
    <row r="1158" spans="1:9" x14ac:dyDescent="0.3">
      <c r="A1158" s="1">
        <v>45962</v>
      </c>
      <c r="B1158" t="s">
        <v>45</v>
      </c>
      <c r="C1158" t="s">
        <v>36</v>
      </c>
      <c r="D1158">
        <v>47.37</v>
      </c>
      <c r="E1158">
        <v>6384.17</v>
      </c>
      <c r="F1158">
        <v>0.23</v>
      </c>
      <c r="G1158">
        <v>0.24</v>
      </c>
      <c r="H1158">
        <v>1348</v>
      </c>
      <c r="I1158">
        <v>16</v>
      </c>
    </row>
    <row r="1159" spans="1:9" x14ac:dyDescent="0.3">
      <c r="A1159" s="1">
        <v>45962</v>
      </c>
      <c r="B1159" t="s">
        <v>53</v>
      </c>
      <c r="C1159" t="s">
        <v>36</v>
      </c>
      <c r="D1159">
        <v>29.32</v>
      </c>
      <c r="E1159">
        <v>3172.92</v>
      </c>
      <c r="F1159">
        <v>0.14000000000000001</v>
      </c>
      <c r="G1159">
        <v>0.12</v>
      </c>
      <c r="H1159">
        <v>1082</v>
      </c>
      <c r="I1159">
        <v>17</v>
      </c>
    </row>
    <row r="1160" spans="1:9" x14ac:dyDescent="0.3">
      <c r="A1160" s="1">
        <v>45962</v>
      </c>
      <c r="B1160" t="s">
        <v>57</v>
      </c>
      <c r="C1160" t="s">
        <v>36</v>
      </c>
      <c r="D1160">
        <v>19.170000000000002</v>
      </c>
      <c r="E1160">
        <v>1912.89</v>
      </c>
      <c r="F1160">
        <v>0.09</v>
      </c>
      <c r="G1160">
        <v>7.0000000000000007E-2</v>
      </c>
      <c r="H1160">
        <v>998</v>
      </c>
      <c r="I1160">
        <v>18</v>
      </c>
    </row>
    <row r="1161" spans="1:9" x14ac:dyDescent="0.3">
      <c r="A1161" s="1">
        <v>45962</v>
      </c>
      <c r="B1161" t="s">
        <v>48</v>
      </c>
      <c r="C1161" t="s">
        <v>36</v>
      </c>
      <c r="D1161">
        <v>15.73</v>
      </c>
      <c r="E1161">
        <v>1263.8599999999999</v>
      </c>
      <c r="F1161">
        <v>0.08</v>
      </c>
      <c r="G1161">
        <v>0.05</v>
      </c>
      <c r="H1161">
        <v>803</v>
      </c>
      <c r="I1161">
        <v>19</v>
      </c>
    </row>
    <row r="1162" spans="1:9" x14ac:dyDescent="0.3">
      <c r="A1162" s="1">
        <v>45962</v>
      </c>
      <c r="B1162" t="s">
        <v>55</v>
      </c>
      <c r="C1162" t="s">
        <v>36</v>
      </c>
      <c r="D1162">
        <v>15.38</v>
      </c>
      <c r="E1162">
        <v>2955.39</v>
      </c>
      <c r="F1162">
        <v>0.08</v>
      </c>
      <c r="G1162">
        <v>0.11</v>
      </c>
      <c r="H1162">
        <v>1922</v>
      </c>
      <c r="I1162">
        <v>20</v>
      </c>
    </row>
    <row r="1163" spans="1:9" x14ac:dyDescent="0.3">
      <c r="A1163" s="1">
        <v>45962</v>
      </c>
      <c r="B1163" t="s">
        <v>65</v>
      </c>
      <c r="C1163" t="s">
        <v>36</v>
      </c>
      <c r="D1163">
        <v>14.58</v>
      </c>
      <c r="E1163">
        <v>834.96</v>
      </c>
      <c r="F1163">
        <v>7.0000000000000007E-2</v>
      </c>
      <c r="G1163">
        <v>0.03</v>
      </c>
      <c r="H1163">
        <v>573</v>
      </c>
      <c r="I1163">
        <v>21</v>
      </c>
    </row>
    <row r="1164" spans="1:9" x14ac:dyDescent="0.3">
      <c r="A1164" s="1">
        <v>45962</v>
      </c>
      <c r="B1164" t="s">
        <v>50</v>
      </c>
      <c r="C1164" t="s">
        <v>36</v>
      </c>
      <c r="D1164">
        <v>14.28</v>
      </c>
      <c r="E1164">
        <v>9763.15</v>
      </c>
      <c r="F1164">
        <v>7.0000000000000007E-2</v>
      </c>
      <c r="G1164">
        <v>0.37</v>
      </c>
      <c r="H1164">
        <v>6837</v>
      </c>
      <c r="I1164">
        <v>22</v>
      </c>
    </row>
    <row r="1165" spans="1:9" x14ac:dyDescent="0.3">
      <c r="A1165" s="1">
        <v>45962</v>
      </c>
      <c r="B1165" t="s">
        <v>54</v>
      </c>
      <c r="C1165" t="s">
        <v>36</v>
      </c>
      <c r="D1165">
        <v>13.17</v>
      </c>
      <c r="E1165">
        <v>3838.92</v>
      </c>
      <c r="F1165">
        <v>0.06</v>
      </c>
      <c r="G1165">
        <v>0.15</v>
      </c>
      <c r="H1165">
        <v>2915</v>
      </c>
      <c r="I1165">
        <v>23</v>
      </c>
    </row>
    <row r="1166" spans="1:9" x14ac:dyDescent="0.3">
      <c r="A1166" s="1">
        <v>45962</v>
      </c>
      <c r="B1166" t="s">
        <v>52</v>
      </c>
      <c r="C1166" t="s">
        <v>36</v>
      </c>
      <c r="D1166">
        <v>12.87</v>
      </c>
      <c r="E1166">
        <v>2750.64</v>
      </c>
      <c r="F1166">
        <v>0.06</v>
      </c>
      <c r="G1166">
        <v>0.1</v>
      </c>
      <c r="H1166">
        <v>2137</v>
      </c>
      <c r="I1166">
        <v>24</v>
      </c>
    </row>
    <row r="1167" spans="1:9" x14ac:dyDescent="0.3">
      <c r="A1167" s="1">
        <v>45962</v>
      </c>
      <c r="B1167" t="s">
        <v>56</v>
      </c>
      <c r="C1167" t="s">
        <v>36</v>
      </c>
      <c r="D1167">
        <v>11.21</v>
      </c>
      <c r="E1167">
        <v>716.66</v>
      </c>
      <c r="F1167">
        <v>0.05</v>
      </c>
      <c r="G1167">
        <v>0.03</v>
      </c>
      <c r="H1167">
        <v>639</v>
      </c>
      <c r="I1167">
        <v>25</v>
      </c>
    </row>
    <row r="1168" spans="1:9" x14ac:dyDescent="0.3">
      <c r="A1168" s="1">
        <v>45962</v>
      </c>
      <c r="B1168" t="s">
        <v>67</v>
      </c>
      <c r="C1168" t="s">
        <v>36</v>
      </c>
      <c r="D1168">
        <v>6.9</v>
      </c>
      <c r="E1168">
        <v>2228.5</v>
      </c>
      <c r="F1168">
        <v>0.03</v>
      </c>
      <c r="G1168">
        <v>0.08</v>
      </c>
      <c r="H1168">
        <v>3230</v>
      </c>
      <c r="I1168">
        <v>26</v>
      </c>
    </row>
    <row r="1169" spans="1:9" x14ac:dyDescent="0.3">
      <c r="A1169" s="1">
        <v>45962</v>
      </c>
      <c r="B1169" t="s">
        <v>58</v>
      </c>
      <c r="C1169" t="s">
        <v>36</v>
      </c>
      <c r="D1169">
        <v>6.38</v>
      </c>
      <c r="E1169">
        <v>1581.57</v>
      </c>
      <c r="F1169">
        <v>0.03</v>
      </c>
      <c r="G1169">
        <v>0.06</v>
      </c>
      <c r="H1169">
        <v>2479</v>
      </c>
      <c r="I1169">
        <v>27</v>
      </c>
    </row>
    <row r="1170" spans="1:9" x14ac:dyDescent="0.3">
      <c r="A1170" s="1">
        <v>45962</v>
      </c>
      <c r="B1170" t="s">
        <v>59</v>
      </c>
      <c r="C1170" t="s">
        <v>36</v>
      </c>
      <c r="D1170">
        <v>6.04</v>
      </c>
      <c r="E1170">
        <v>935.1</v>
      </c>
      <c r="F1170">
        <v>0.03</v>
      </c>
      <c r="G1170">
        <v>0.04</v>
      </c>
      <c r="H1170">
        <v>1548</v>
      </c>
      <c r="I1170">
        <v>28</v>
      </c>
    </row>
    <row r="1171" spans="1:9" x14ac:dyDescent="0.3">
      <c r="A1171" s="1">
        <v>45962</v>
      </c>
      <c r="B1171" t="s">
        <v>62</v>
      </c>
      <c r="C1171" t="s">
        <v>36</v>
      </c>
      <c r="D1171">
        <v>5.92</v>
      </c>
      <c r="E1171">
        <v>418.34</v>
      </c>
      <c r="F1171">
        <v>0.03</v>
      </c>
      <c r="G1171">
        <v>0.02</v>
      </c>
      <c r="H1171">
        <v>707</v>
      </c>
      <c r="I1171">
        <v>29</v>
      </c>
    </row>
    <row r="1172" spans="1:9" x14ac:dyDescent="0.3">
      <c r="A1172" s="1">
        <v>45962</v>
      </c>
      <c r="B1172" t="s">
        <v>60</v>
      </c>
      <c r="C1172" t="s">
        <v>36</v>
      </c>
      <c r="D1172">
        <v>4.3899999999999997</v>
      </c>
      <c r="E1172">
        <v>760.75</v>
      </c>
      <c r="F1172">
        <v>0.02</v>
      </c>
      <c r="G1172">
        <v>0.03</v>
      </c>
      <c r="H1172">
        <v>1733</v>
      </c>
      <c r="I1172">
        <v>30</v>
      </c>
    </row>
    <row r="1173" spans="1:9" x14ac:dyDescent="0.3">
      <c r="A1173" s="1">
        <v>45962</v>
      </c>
      <c r="B1173" t="s">
        <v>61</v>
      </c>
      <c r="C1173" t="s">
        <v>36</v>
      </c>
      <c r="D1173">
        <v>4.3499999999999996</v>
      </c>
      <c r="E1173">
        <v>1074.18</v>
      </c>
      <c r="F1173">
        <v>0.02</v>
      </c>
      <c r="G1173">
        <v>0.04</v>
      </c>
      <c r="H1173">
        <v>2469</v>
      </c>
      <c r="I1173">
        <v>31</v>
      </c>
    </row>
    <row r="1174" spans="1:9" x14ac:dyDescent="0.3">
      <c r="A1174" s="1">
        <v>45962</v>
      </c>
      <c r="B1174" t="s">
        <v>63</v>
      </c>
      <c r="C1174" t="s">
        <v>36</v>
      </c>
      <c r="D1174">
        <v>4.03</v>
      </c>
      <c r="E1174">
        <v>1040.95</v>
      </c>
      <c r="F1174">
        <v>0.02</v>
      </c>
      <c r="G1174">
        <v>0.04</v>
      </c>
      <c r="H1174">
        <v>2583</v>
      </c>
      <c r="I1174">
        <v>32</v>
      </c>
    </row>
    <row r="1175" spans="1:9" x14ac:dyDescent="0.3">
      <c r="A1175" s="1">
        <v>45962</v>
      </c>
      <c r="B1175" t="s">
        <v>94</v>
      </c>
      <c r="C1175" t="s">
        <v>36</v>
      </c>
      <c r="D1175">
        <v>3.48</v>
      </c>
      <c r="E1175">
        <v>319.56</v>
      </c>
      <c r="F1175">
        <v>0.02</v>
      </c>
      <c r="G1175">
        <v>0.01</v>
      </c>
      <c r="H1175">
        <v>918</v>
      </c>
      <c r="I1175">
        <v>33</v>
      </c>
    </row>
    <row r="1176" spans="1:9" x14ac:dyDescent="0.3">
      <c r="A1176" s="1">
        <v>45962</v>
      </c>
      <c r="B1176" t="s">
        <v>82</v>
      </c>
      <c r="C1176" t="s">
        <v>36</v>
      </c>
      <c r="D1176">
        <v>3.08</v>
      </c>
      <c r="E1176">
        <v>404.62</v>
      </c>
      <c r="F1176">
        <v>0.02</v>
      </c>
      <c r="G1176">
        <v>0.02</v>
      </c>
      <c r="H1176">
        <v>1314</v>
      </c>
      <c r="I1176">
        <v>34</v>
      </c>
    </row>
    <row r="1177" spans="1:9" x14ac:dyDescent="0.3">
      <c r="A1177" s="1">
        <v>45962</v>
      </c>
      <c r="B1177" t="s">
        <v>115</v>
      </c>
      <c r="C1177" t="s">
        <v>36</v>
      </c>
      <c r="D1177">
        <v>3.02</v>
      </c>
      <c r="E1177">
        <v>994.89</v>
      </c>
      <c r="F1177">
        <v>0.01</v>
      </c>
      <c r="G1177">
        <v>0.04</v>
      </c>
      <c r="H1177">
        <v>3294</v>
      </c>
      <c r="I1177">
        <v>35</v>
      </c>
    </row>
    <row r="1178" spans="1:9" x14ac:dyDescent="0.3">
      <c r="A1178" s="1">
        <v>45962</v>
      </c>
      <c r="B1178" t="s">
        <v>69</v>
      </c>
      <c r="C1178" t="s">
        <v>36</v>
      </c>
      <c r="D1178">
        <v>2.74</v>
      </c>
      <c r="E1178">
        <v>653.52</v>
      </c>
      <c r="F1178">
        <v>0.01</v>
      </c>
      <c r="G1178">
        <v>0.02</v>
      </c>
      <c r="H1178">
        <v>2385</v>
      </c>
      <c r="I1178">
        <v>36</v>
      </c>
    </row>
    <row r="1179" spans="1:9" x14ac:dyDescent="0.3">
      <c r="A1179" s="1">
        <v>45962</v>
      </c>
      <c r="B1179" t="s">
        <v>51</v>
      </c>
      <c r="C1179" t="s">
        <v>36</v>
      </c>
      <c r="D1179">
        <v>2.66</v>
      </c>
      <c r="E1179">
        <v>146.29</v>
      </c>
      <c r="F1179">
        <v>0.01</v>
      </c>
      <c r="G1179">
        <v>0.01</v>
      </c>
      <c r="H1179">
        <v>550</v>
      </c>
      <c r="I1179">
        <v>37</v>
      </c>
    </row>
    <row r="1180" spans="1:9" x14ac:dyDescent="0.3">
      <c r="A1180" s="1">
        <v>45962</v>
      </c>
      <c r="B1180" t="s">
        <v>108</v>
      </c>
      <c r="C1180" t="s">
        <v>36</v>
      </c>
      <c r="D1180">
        <v>2.58</v>
      </c>
      <c r="E1180">
        <v>375.77</v>
      </c>
      <c r="F1180">
        <v>0.01</v>
      </c>
      <c r="G1180">
        <v>0.01</v>
      </c>
      <c r="H1180">
        <v>1456</v>
      </c>
      <c r="I1180">
        <v>38</v>
      </c>
    </row>
    <row r="1181" spans="1:9" x14ac:dyDescent="0.3">
      <c r="A1181" s="1">
        <v>45962</v>
      </c>
      <c r="B1181" t="s">
        <v>71</v>
      </c>
      <c r="C1181" t="s">
        <v>36</v>
      </c>
      <c r="D1181">
        <v>2.42</v>
      </c>
      <c r="E1181">
        <v>378.25</v>
      </c>
      <c r="F1181">
        <v>0.01</v>
      </c>
      <c r="G1181">
        <v>0.01</v>
      </c>
      <c r="H1181">
        <v>1563</v>
      </c>
      <c r="I1181">
        <v>39</v>
      </c>
    </row>
    <row r="1182" spans="1:9" x14ac:dyDescent="0.3">
      <c r="A1182" s="1">
        <v>45962</v>
      </c>
      <c r="B1182" t="s">
        <v>98</v>
      </c>
      <c r="C1182" t="s">
        <v>36</v>
      </c>
      <c r="D1182">
        <v>2.2799999999999998</v>
      </c>
      <c r="E1182">
        <v>177.52</v>
      </c>
      <c r="F1182">
        <v>0.01</v>
      </c>
      <c r="G1182">
        <v>0.01</v>
      </c>
      <c r="H1182">
        <v>779</v>
      </c>
      <c r="I1182">
        <v>40</v>
      </c>
    </row>
    <row r="1183" spans="1:9" x14ac:dyDescent="0.3">
      <c r="A1183" s="1">
        <v>45962</v>
      </c>
      <c r="B1183" t="s">
        <v>66</v>
      </c>
      <c r="C1183" t="s">
        <v>36</v>
      </c>
      <c r="D1183">
        <v>2</v>
      </c>
      <c r="E1183">
        <v>39.979999999999997</v>
      </c>
      <c r="F1183">
        <v>0.01</v>
      </c>
      <c r="G1183">
        <v>0</v>
      </c>
      <c r="H1183">
        <v>200</v>
      </c>
      <c r="I1183">
        <v>41</v>
      </c>
    </row>
    <row r="1184" spans="1:9" x14ac:dyDescent="0.3">
      <c r="A1184" s="1">
        <v>45962</v>
      </c>
      <c r="B1184" t="s">
        <v>68</v>
      </c>
      <c r="C1184" t="s">
        <v>36</v>
      </c>
      <c r="D1184">
        <v>1.9</v>
      </c>
      <c r="E1184">
        <v>129.21</v>
      </c>
      <c r="F1184">
        <v>0.01</v>
      </c>
      <c r="G1184">
        <v>0</v>
      </c>
      <c r="H1184">
        <v>680</v>
      </c>
      <c r="I1184">
        <v>42</v>
      </c>
    </row>
    <row r="1185" spans="1:9" x14ac:dyDescent="0.3">
      <c r="A1185" s="1">
        <v>45962</v>
      </c>
      <c r="B1185" t="s">
        <v>83</v>
      </c>
      <c r="C1185" t="s">
        <v>36</v>
      </c>
      <c r="D1185">
        <v>1.89</v>
      </c>
      <c r="E1185">
        <v>3.55</v>
      </c>
      <c r="F1185">
        <v>0.01</v>
      </c>
      <c r="G1185">
        <v>0</v>
      </c>
      <c r="H1185">
        <v>19</v>
      </c>
      <c r="I1185">
        <v>43</v>
      </c>
    </row>
    <row r="1186" spans="1:9" x14ac:dyDescent="0.3">
      <c r="A1186" s="1">
        <v>45962</v>
      </c>
      <c r="B1186" t="s">
        <v>64</v>
      </c>
      <c r="C1186" t="s">
        <v>36</v>
      </c>
      <c r="D1186">
        <v>1.52</v>
      </c>
      <c r="E1186">
        <v>422.65</v>
      </c>
      <c r="F1186">
        <v>0.01</v>
      </c>
      <c r="G1186">
        <v>0.02</v>
      </c>
      <c r="H1186">
        <v>2781</v>
      </c>
      <c r="I1186">
        <v>44</v>
      </c>
    </row>
    <row r="1187" spans="1:9" x14ac:dyDescent="0.3">
      <c r="A1187" s="1">
        <v>45962</v>
      </c>
      <c r="B1187" t="s">
        <v>112</v>
      </c>
      <c r="C1187" t="s">
        <v>36</v>
      </c>
      <c r="D1187">
        <v>1.41</v>
      </c>
      <c r="E1187">
        <v>98.11</v>
      </c>
      <c r="F1187">
        <v>0.01</v>
      </c>
      <c r="G1187">
        <v>0</v>
      </c>
      <c r="H1187">
        <v>696</v>
      </c>
      <c r="I1187">
        <v>45</v>
      </c>
    </row>
    <row r="1188" spans="1:9" x14ac:dyDescent="0.3">
      <c r="A1188" s="1">
        <v>45962</v>
      </c>
      <c r="B1188" t="s">
        <v>80</v>
      </c>
      <c r="C1188" t="s">
        <v>36</v>
      </c>
      <c r="D1188">
        <v>1.39</v>
      </c>
      <c r="E1188">
        <v>212.28</v>
      </c>
      <c r="F1188">
        <v>0.01</v>
      </c>
      <c r="G1188">
        <v>0.01</v>
      </c>
      <c r="H1188">
        <v>1527</v>
      </c>
      <c r="I1188">
        <v>46</v>
      </c>
    </row>
    <row r="1189" spans="1:9" x14ac:dyDescent="0.3">
      <c r="A1189" s="1">
        <v>45962</v>
      </c>
      <c r="B1189" t="s">
        <v>81</v>
      </c>
      <c r="C1189" t="s">
        <v>36</v>
      </c>
      <c r="D1189">
        <v>1.39</v>
      </c>
      <c r="E1189">
        <v>108.4</v>
      </c>
      <c r="F1189">
        <v>0.01</v>
      </c>
      <c r="G1189">
        <v>0</v>
      </c>
      <c r="H1189">
        <v>780</v>
      </c>
      <c r="I1189">
        <v>46</v>
      </c>
    </row>
    <row r="1190" spans="1:9" x14ac:dyDescent="0.3">
      <c r="A1190" s="1">
        <v>45962</v>
      </c>
      <c r="B1190" t="s">
        <v>76</v>
      </c>
      <c r="C1190" t="s">
        <v>36</v>
      </c>
      <c r="D1190">
        <v>1.26</v>
      </c>
      <c r="E1190">
        <v>158.12</v>
      </c>
      <c r="F1190">
        <v>0.01</v>
      </c>
      <c r="G1190">
        <v>0.01</v>
      </c>
      <c r="H1190">
        <v>1255</v>
      </c>
      <c r="I1190">
        <v>48</v>
      </c>
    </row>
    <row r="1191" spans="1:9" x14ac:dyDescent="0.3">
      <c r="A1191" s="1">
        <v>45962</v>
      </c>
      <c r="B1191" t="s">
        <v>109</v>
      </c>
      <c r="C1191" t="s">
        <v>36</v>
      </c>
      <c r="D1191">
        <v>1.19</v>
      </c>
      <c r="E1191">
        <v>127.39</v>
      </c>
      <c r="F1191">
        <v>0.01</v>
      </c>
      <c r="G1191">
        <v>0</v>
      </c>
      <c r="H1191">
        <v>1071</v>
      </c>
      <c r="I1191">
        <v>49</v>
      </c>
    </row>
    <row r="1192" spans="1:9" x14ac:dyDescent="0.3">
      <c r="A1192" s="1">
        <v>45962</v>
      </c>
      <c r="B1192" t="s">
        <v>79</v>
      </c>
      <c r="C1192" t="s">
        <v>36</v>
      </c>
      <c r="D1192">
        <v>1.1599999999999999</v>
      </c>
      <c r="E1192">
        <v>412.73</v>
      </c>
      <c r="F1192">
        <v>0.01</v>
      </c>
      <c r="G1192">
        <v>0.02</v>
      </c>
      <c r="H1192">
        <v>3558</v>
      </c>
      <c r="I1192">
        <v>50</v>
      </c>
    </row>
    <row r="1193" spans="1:9" x14ac:dyDescent="0.3">
      <c r="A1193" s="1">
        <v>45962</v>
      </c>
      <c r="B1193" t="s">
        <v>72</v>
      </c>
      <c r="C1193" t="s">
        <v>36</v>
      </c>
      <c r="D1193">
        <v>1.1100000000000001</v>
      </c>
      <c r="E1193">
        <v>24.14</v>
      </c>
      <c r="F1193">
        <v>0.01</v>
      </c>
      <c r="G1193">
        <v>0</v>
      </c>
      <c r="H1193">
        <v>217</v>
      </c>
      <c r="I1193">
        <v>51</v>
      </c>
    </row>
    <row r="1194" spans="1:9" x14ac:dyDescent="0.3">
      <c r="A1194" s="1">
        <v>45962</v>
      </c>
      <c r="B1194" t="s">
        <v>122</v>
      </c>
      <c r="C1194" t="s">
        <v>36</v>
      </c>
      <c r="D1194">
        <v>1.06</v>
      </c>
      <c r="E1194">
        <v>37.32</v>
      </c>
      <c r="F1194">
        <v>0.01</v>
      </c>
      <c r="G1194">
        <v>0</v>
      </c>
      <c r="H1194">
        <v>352</v>
      </c>
      <c r="I1194">
        <v>52</v>
      </c>
    </row>
    <row r="1195" spans="1:9" x14ac:dyDescent="0.3">
      <c r="A1195" s="1">
        <v>45962</v>
      </c>
      <c r="B1195" t="s">
        <v>77</v>
      </c>
      <c r="C1195" t="s">
        <v>36</v>
      </c>
      <c r="D1195">
        <v>0.96</v>
      </c>
      <c r="E1195">
        <v>83.45</v>
      </c>
      <c r="F1195">
        <v>0</v>
      </c>
      <c r="G1195">
        <v>0</v>
      </c>
      <c r="H1195">
        <v>869</v>
      </c>
      <c r="I1195">
        <v>53</v>
      </c>
    </row>
    <row r="1196" spans="1:9" x14ac:dyDescent="0.3">
      <c r="A1196" s="1">
        <v>45962</v>
      </c>
      <c r="B1196" t="s">
        <v>73</v>
      </c>
      <c r="C1196" t="s">
        <v>36</v>
      </c>
      <c r="D1196">
        <v>0.88</v>
      </c>
      <c r="E1196">
        <v>250.09</v>
      </c>
      <c r="F1196">
        <v>0</v>
      </c>
      <c r="G1196">
        <v>0.01</v>
      </c>
      <c r="H1196">
        <v>2842</v>
      </c>
      <c r="I1196">
        <v>54</v>
      </c>
    </row>
    <row r="1197" spans="1:9" x14ac:dyDescent="0.3">
      <c r="A1197" s="1">
        <v>45962</v>
      </c>
      <c r="B1197" t="s">
        <v>74</v>
      </c>
      <c r="C1197" t="s">
        <v>36</v>
      </c>
      <c r="D1197">
        <v>0.84</v>
      </c>
      <c r="E1197">
        <v>243.72</v>
      </c>
      <c r="F1197">
        <v>0</v>
      </c>
      <c r="G1197">
        <v>0.01</v>
      </c>
      <c r="H1197">
        <v>2901</v>
      </c>
      <c r="I1197">
        <v>55</v>
      </c>
    </row>
    <row r="1198" spans="1:9" x14ac:dyDescent="0.3">
      <c r="A1198" s="1">
        <v>45962</v>
      </c>
      <c r="B1198" t="s">
        <v>78</v>
      </c>
      <c r="C1198" t="s">
        <v>36</v>
      </c>
      <c r="D1198">
        <v>0.73</v>
      </c>
      <c r="E1198">
        <v>241.68</v>
      </c>
      <c r="F1198">
        <v>0</v>
      </c>
      <c r="G1198">
        <v>0.01</v>
      </c>
      <c r="H1198">
        <v>3311</v>
      </c>
      <c r="I1198">
        <v>56</v>
      </c>
    </row>
    <row r="1199" spans="1:9" x14ac:dyDescent="0.3">
      <c r="A1199" s="1">
        <v>45962</v>
      </c>
      <c r="B1199" t="s">
        <v>100</v>
      </c>
      <c r="C1199" t="s">
        <v>36</v>
      </c>
      <c r="D1199">
        <v>0.63</v>
      </c>
      <c r="E1199">
        <v>793.04</v>
      </c>
      <c r="F1199">
        <v>0</v>
      </c>
      <c r="G1199">
        <v>0.03</v>
      </c>
      <c r="H1199">
        <v>12588</v>
      </c>
      <c r="I1199">
        <v>57</v>
      </c>
    </row>
    <row r="1200" spans="1:9" x14ac:dyDescent="0.3">
      <c r="A1200" s="1">
        <v>45962</v>
      </c>
      <c r="B1200" t="s">
        <v>114</v>
      </c>
      <c r="C1200" t="s">
        <v>36</v>
      </c>
      <c r="D1200">
        <v>0.6</v>
      </c>
      <c r="E1200">
        <v>53.81</v>
      </c>
      <c r="F1200">
        <v>0</v>
      </c>
      <c r="G1200">
        <v>0</v>
      </c>
      <c r="H1200">
        <v>897</v>
      </c>
      <c r="I1200">
        <v>58</v>
      </c>
    </row>
    <row r="1201" spans="1:9" x14ac:dyDescent="0.3">
      <c r="A1201" s="1">
        <v>45962</v>
      </c>
      <c r="B1201" t="s">
        <v>75</v>
      </c>
      <c r="C1201" t="s">
        <v>36</v>
      </c>
      <c r="D1201">
        <v>0.57999999999999996</v>
      </c>
      <c r="E1201">
        <v>203.03</v>
      </c>
      <c r="F1201">
        <v>0</v>
      </c>
      <c r="G1201">
        <v>0.01</v>
      </c>
      <c r="H1201">
        <v>3501</v>
      </c>
      <c r="I1201">
        <v>59</v>
      </c>
    </row>
    <row r="1202" spans="1:9" x14ac:dyDescent="0.3">
      <c r="A1202" s="1">
        <v>45962</v>
      </c>
      <c r="B1202" t="s">
        <v>84</v>
      </c>
      <c r="C1202" t="s">
        <v>36</v>
      </c>
      <c r="D1202">
        <v>0.57999999999999996</v>
      </c>
      <c r="E1202">
        <v>154.26</v>
      </c>
      <c r="F1202">
        <v>0</v>
      </c>
      <c r="G1202">
        <v>0.01</v>
      </c>
      <c r="H1202">
        <v>2660</v>
      </c>
      <c r="I1202">
        <v>59</v>
      </c>
    </row>
    <row r="1203" spans="1:9" x14ac:dyDescent="0.3">
      <c r="A1203" s="1">
        <v>45962</v>
      </c>
      <c r="B1203" t="s">
        <v>102</v>
      </c>
      <c r="C1203" t="s">
        <v>36</v>
      </c>
      <c r="D1203">
        <v>0.48</v>
      </c>
      <c r="E1203">
        <v>23.87</v>
      </c>
      <c r="F1203">
        <v>0</v>
      </c>
      <c r="G1203">
        <v>0</v>
      </c>
      <c r="H1203">
        <v>497</v>
      </c>
      <c r="I1203">
        <v>61</v>
      </c>
    </row>
    <row r="1204" spans="1:9" x14ac:dyDescent="0.3">
      <c r="A1204" s="1">
        <v>45962</v>
      </c>
      <c r="B1204" t="s">
        <v>70</v>
      </c>
      <c r="C1204" t="s">
        <v>36</v>
      </c>
      <c r="D1204">
        <v>0.42</v>
      </c>
      <c r="E1204">
        <v>126.34</v>
      </c>
      <c r="F1204">
        <v>0</v>
      </c>
      <c r="G1204">
        <v>0</v>
      </c>
      <c r="H1204">
        <v>3008</v>
      </c>
      <c r="I1204">
        <v>62</v>
      </c>
    </row>
    <row r="1205" spans="1:9" x14ac:dyDescent="0.3">
      <c r="A1205" s="1">
        <v>45962</v>
      </c>
      <c r="B1205" t="s">
        <v>85</v>
      </c>
      <c r="C1205" t="s">
        <v>36</v>
      </c>
      <c r="D1205">
        <v>0.42</v>
      </c>
      <c r="E1205">
        <v>148.43</v>
      </c>
      <c r="F1205">
        <v>0</v>
      </c>
      <c r="G1205">
        <v>0.01</v>
      </c>
      <c r="H1205">
        <v>3534</v>
      </c>
      <c r="I1205">
        <v>62</v>
      </c>
    </row>
    <row r="1206" spans="1:9" x14ac:dyDescent="0.3">
      <c r="A1206" s="1">
        <v>45962</v>
      </c>
      <c r="B1206" t="s">
        <v>87</v>
      </c>
      <c r="C1206" t="s">
        <v>36</v>
      </c>
      <c r="D1206">
        <v>0.36</v>
      </c>
      <c r="E1206">
        <v>116.53</v>
      </c>
      <c r="F1206">
        <v>0</v>
      </c>
      <c r="G1206">
        <v>0</v>
      </c>
      <c r="H1206">
        <v>3237</v>
      </c>
      <c r="I1206">
        <v>64</v>
      </c>
    </row>
    <row r="1207" spans="1:9" x14ac:dyDescent="0.3">
      <c r="A1207" s="1">
        <v>45962</v>
      </c>
      <c r="B1207" t="s">
        <v>89</v>
      </c>
      <c r="C1207" t="s">
        <v>36</v>
      </c>
      <c r="D1207">
        <v>0.34</v>
      </c>
      <c r="E1207">
        <v>108.52</v>
      </c>
      <c r="F1207">
        <v>0</v>
      </c>
      <c r="G1207">
        <v>0</v>
      </c>
      <c r="H1207">
        <v>3192</v>
      </c>
      <c r="I1207">
        <v>65</v>
      </c>
    </row>
    <row r="1208" spans="1:9" x14ac:dyDescent="0.3">
      <c r="A1208" s="1">
        <v>45962</v>
      </c>
      <c r="B1208" t="s">
        <v>121</v>
      </c>
      <c r="C1208" t="s">
        <v>36</v>
      </c>
      <c r="D1208">
        <v>0.33</v>
      </c>
      <c r="E1208">
        <v>8.42</v>
      </c>
      <c r="F1208">
        <v>0</v>
      </c>
      <c r="G1208">
        <v>0</v>
      </c>
      <c r="H1208">
        <v>255</v>
      </c>
      <c r="I1208">
        <v>66</v>
      </c>
    </row>
    <row r="1209" spans="1:9" x14ac:dyDescent="0.3">
      <c r="A1209" s="1">
        <v>45962</v>
      </c>
      <c r="B1209" t="s">
        <v>113</v>
      </c>
      <c r="C1209" t="s">
        <v>36</v>
      </c>
      <c r="D1209">
        <v>0.32</v>
      </c>
      <c r="E1209">
        <v>30.58</v>
      </c>
      <c r="F1209">
        <v>0</v>
      </c>
      <c r="G1209">
        <v>0</v>
      </c>
      <c r="H1209">
        <v>956</v>
      </c>
      <c r="I1209">
        <v>67</v>
      </c>
    </row>
    <row r="1210" spans="1:9" x14ac:dyDescent="0.3">
      <c r="A1210" s="1">
        <v>45962</v>
      </c>
      <c r="B1210" t="s">
        <v>97</v>
      </c>
      <c r="C1210" t="s">
        <v>36</v>
      </c>
      <c r="D1210">
        <v>0.3</v>
      </c>
      <c r="E1210">
        <v>29.39</v>
      </c>
      <c r="F1210">
        <v>0</v>
      </c>
      <c r="G1210">
        <v>0</v>
      </c>
      <c r="H1210">
        <v>980</v>
      </c>
      <c r="I1210">
        <v>68</v>
      </c>
    </row>
    <row r="1211" spans="1:9" x14ac:dyDescent="0.3">
      <c r="A1211" s="1">
        <v>45962</v>
      </c>
      <c r="B1211" t="s">
        <v>88</v>
      </c>
      <c r="C1211" t="s">
        <v>36</v>
      </c>
      <c r="D1211">
        <v>0.27</v>
      </c>
      <c r="E1211">
        <v>63.02</v>
      </c>
      <c r="F1211">
        <v>0</v>
      </c>
      <c r="G1211">
        <v>0</v>
      </c>
      <c r="H1211">
        <v>2334</v>
      </c>
      <c r="I1211">
        <v>69</v>
      </c>
    </row>
    <row r="1212" spans="1:9" x14ac:dyDescent="0.3">
      <c r="A1212" s="1">
        <v>45962</v>
      </c>
      <c r="B1212" t="s">
        <v>90</v>
      </c>
      <c r="C1212" t="s">
        <v>36</v>
      </c>
      <c r="D1212">
        <v>0.21</v>
      </c>
      <c r="E1212">
        <v>9.42</v>
      </c>
      <c r="F1212">
        <v>0</v>
      </c>
      <c r="G1212">
        <v>0</v>
      </c>
      <c r="H1212">
        <v>449</v>
      </c>
      <c r="I1212">
        <v>70</v>
      </c>
    </row>
    <row r="1213" spans="1:9" x14ac:dyDescent="0.3">
      <c r="A1213" s="1">
        <v>45962</v>
      </c>
      <c r="B1213" t="s">
        <v>86</v>
      </c>
      <c r="C1213" t="s">
        <v>36</v>
      </c>
      <c r="D1213">
        <v>0.2</v>
      </c>
      <c r="E1213">
        <v>53.88</v>
      </c>
      <c r="F1213">
        <v>0</v>
      </c>
      <c r="G1213">
        <v>0</v>
      </c>
      <c r="H1213">
        <v>2694</v>
      </c>
      <c r="I1213">
        <v>71</v>
      </c>
    </row>
    <row r="1214" spans="1:9" x14ac:dyDescent="0.3">
      <c r="A1214" s="1">
        <v>45962</v>
      </c>
      <c r="B1214" t="s">
        <v>99</v>
      </c>
      <c r="C1214" t="s">
        <v>36</v>
      </c>
      <c r="D1214">
        <v>0.18</v>
      </c>
      <c r="E1214">
        <v>6.09</v>
      </c>
      <c r="F1214">
        <v>0</v>
      </c>
      <c r="G1214">
        <v>0</v>
      </c>
      <c r="H1214">
        <v>338</v>
      </c>
      <c r="I1214">
        <v>72</v>
      </c>
    </row>
    <row r="1215" spans="1:9" x14ac:dyDescent="0.3">
      <c r="A1215" s="1">
        <v>45962</v>
      </c>
      <c r="B1215" t="s">
        <v>124</v>
      </c>
      <c r="C1215" t="s">
        <v>36</v>
      </c>
      <c r="D1215">
        <v>0.16</v>
      </c>
      <c r="E1215">
        <v>10.58</v>
      </c>
      <c r="F1215">
        <v>0</v>
      </c>
      <c r="G1215">
        <v>0</v>
      </c>
      <c r="H1215">
        <v>661</v>
      </c>
      <c r="I1215">
        <v>73</v>
      </c>
    </row>
    <row r="1216" spans="1:9" x14ac:dyDescent="0.3">
      <c r="A1216" s="1">
        <v>45962</v>
      </c>
      <c r="B1216" t="s">
        <v>93</v>
      </c>
      <c r="C1216" t="s">
        <v>36</v>
      </c>
      <c r="D1216">
        <v>0.16</v>
      </c>
      <c r="E1216">
        <v>71.989999999999995</v>
      </c>
      <c r="F1216">
        <v>0</v>
      </c>
      <c r="G1216">
        <v>0</v>
      </c>
      <c r="H1216">
        <v>4499</v>
      </c>
      <c r="I1216">
        <v>73</v>
      </c>
    </row>
    <row r="1217" spans="1:9" x14ac:dyDescent="0.3">
      <c r="A1217" s="1">
        <v>45962</v>
      </c>
      <c r="B1217" t="s">
        <v>117</v>
      </c>
      <c r="C1217" t="s">
        <v>36</v>
      </c>
      <c r="D1217">
        <v>0.15</v>
      </c>
      <c r="E1217">
        <v>23.14</v>
      </c>
      <c r="F1217">
        <v>0</v>
      </c>
      <c r="G1217">
        <v>0</v>
      </c>
      <c r="H1217">
        <v>1543</v>
      </c>
      <c r="I1217">
        <v>75</v>
      </c>
    </row>
    <row r="1218" spans="1:9" x14ac:dyDescent="0.3">
      <c r="A1218" s="1">
        <v>45962</v>
      </c>
      <c r="B1218" t="s">
        <v>101</v>
      </c>
      <c r="C1218" t="s">
        <v>36</v>
      </c>
      <c r="D1218">
        <v>0.12</v>
      </c>
      <c r="E1218">
        <v>43.7</v>
      </c>
      <c r="F1218">
        <v>0</v>
      </c>
      <c r="G1218">
        <v>0</v>
      </c>
      <c r="H1218">
        <v>3642</v>
      </c>
      <c r="I1218">
        <v>76</v>
      </c>
    </row>
    <row r="1219" spans="1:9" x14ac:dyDescent="0.3">
      <c r="A1219" s="1">
        <v>45962</v>
      </c>
      <c r="B1219" t="s">
        <v>123</v>
      </c>
      <c r="C1219" t="s">
        <v>36</v>
      </c>
      <c r="D1219">
        <v>0.11</v>
      </c>
      <c r="E1219">
        <v>12.18</v>
      </c>
      <c r="F1219">
        <v>0</v>
      </c>
      <c r="G1219">
        <v>0</v>
      </c>
      <c r="H1219">
        <v>1107</v>
      </c>
      <c r="I1219">
        <v>77</v>
      </c>
    </row>
    <row r="1220" spans="1:9" x14ac:dyDescent="0.3">
      <c r="A1220" s="1">
        <v>45962</v>
      </c>
      <c r="B1220" t="s">
        <v>96</v>
      </c>
      <c r="C1220" t="s">
        <v>36</v>
      </c>
      <c r="D1220">
        <v>0.1</v>
      </c>
      <c r="E1220">
        <v>34.64</v>
      </c>
      <c r="F1220">
        <v>0</v>
      </c>
      <c r="G1220">
        <v>0</v>
      </c>
      <c r="H1220">
        <v>3464</v>
      </c>
      <c r="I1220">
        <v>78</v>
      </c>
    </row>
    <row r="1221" spans="1:9" x14ac:dyDescent="0.3">
      <c r="A1221" s="1">
        <v>45962</v>
      </c>
      <c r="B1221" t="s">
        <v>119</v>
      </c>
      <c r="C1221" t="s">
        <v>36</v>
      </c>
      <c r="D1221">
        <v>0.08</v>
      </c>
      <c r="E1221">
        <v>7.81</v>
      </c>
      <c r="F1221">
        <v>0</v>
      </c>
      <c r="G1221">
        <v>0</v>
      </c>
      <c r="H1221">
        <v>976</v>
      </c>
      <c r="I1221">
        <v>79</v>
      </c>
    </row>
    <row r="1222" spans="1:9" x14ac:dyDescent="0.3">
      <c r="A1222" s="1">
        <v>45962</v>
      </c>
      <c r="B1222" t="s">
        <v>91</v>
      </c>
      <c r="C1222" t="s">
        <v>36</v>
      </c>
      <c r="D1222">
        <v>0.08</v>
      </c>
      <c r="E1222">
        <v>6.31</v>
      </c>
      <c r="F1222">
        <v>0</v>
      </c>
      <c r="G1222">
        <v>0</v>
      </c>
      <c r="H1222">
        <v>789</v>
      </c>
      <c r="I1222">
        <v>79</v>
      </c>
    </row>
    <row r="1223" spans="1:9" x14ac:dyDescent="0.3">
      <c r="A1223" s="1">
        <v>45962</v>
      </c>
      <c r="B1223" t="s">
        <v>118</v>
      </c>
      <c r="C1223" t="s">
        <v>36</v>
      </c>
      <c r="D1223">
        <v>0.08</v>
      </c>
      <c r="E1223">
        <v>24.79</v>
      </c>
      <c r="F1223">
        <v>0</v>
      </c>
      <c r="G1223">
        <v>0</v>
      </c>
      <c r="H1223">
        <v>3099</v>
      </c>
      <c r="I1223">
        <v>79</v>
      </c>
    </row>
    <row r="1224" spans="1:9" x14ac:dyDescent="0.3">
      <c r="A1224" s="1">
        <v>45962</v>
      </c>
      <c r="B1224" t="s">
        <v>95</v>
      </c>
      <c r="C1224" t="s">
        <v>36</v>
      </c>
      <c r="D1224">
        <v>7.0000000000000007E-2</v>
      </c>
      <c r="E1224">
        <v>29.85</v>
      </c>
      <c r="F1224">
        <v>0</v>
      </c>
      <c r="G1224">
        <v>0</v>
      </c>
      <c r="H1224">
        <v>4264</v>
      </c>
      <c r="I1224">
        <v>82</v>
      </c>
    </row>
    <row r="1225" spans="1:9" x14ac:dyDescent="0.3">
      <c r="A1225" s="1">
        <v>45962</v>
      </c>
      <c r="B1225" t="s">
        <v>116</v>
      </c>
      <c r="C1225" t="s">
        <v>36</v>
      </c>
      <c r="D1225">
        <v>0.04</v>
      </c>
      <c r="E1225">
        <v>10.94</v>
      </c>
      <c r="F1225">
        <v>0</v>
      </c>
      <c r="G1225">
        <v>0</v>
      </c>
      <c r="H1225">
        <v>2735</v>
      </c>
      <c r="I1225">
        <v>83</v>
      </c>
    </row>
    <row r="1226" spans="1:9" x14ac:dyDescent="0.3">
      <c r="A1226" s="1">
        <v>45962</v>
      </c>
      <c r="B1226" t="s">
        <v>125</v>
      </c>
      <c r="C1226" t="s">
        <v>36</v>
      </c>
      <c r="D1226">
        <v>0.04</v>
      </c>
      <c r="E1226">
        <v>3.25</v>
      </c>
      <c r="F1226">
        <v>0</v>
      </c>
      <c r="G1226">
        <v>0</v>
      </c>
      <c r="H1226">
        <v>813</v>
      </c>
      <c r="I1226">
        <v>83</v>
      </c>
    </row>
    <row r="1227" spans="1:9" x14ac:dyDescent="0.3">
      <c r="A1227" s="1">
        <v>45962</v>
      </c>
      <c r="B1227" t="s">
        <v>104</v>
      </c>
      <c r="C1227" t="s">
        <v>36</v>
      </c>
      <c r="D1227">
        <v>0.03</v>
      </c>
      <c r="E1227">
        <v>11.81</v>
      </c>
      <c r="F1227">
        <v>0</v>
      </c>
      <c r="G1227">
        <v>0</v>
      </c>
      <c r="H1227">
        <v>3937</v>
      </c>
      <c r="I1227">
        <v>85</v>
      </c>
    </row>
    <row r="1228" spans="1:9" x14ac:dyDescent="0.3">
      <c r="A1228" s="1">
        <v>45962</v>
      </c>
      <c r="B1228" t="s">
        <v>105</v>
      </c>
      <c r="C1228" t="s">
        <v>36</v>
      </c>
      <c r="D1228">
        <v>0.03</v>
      </c>
      <c r="E1228">
        <v>10.199999999999999</v>
      </c>
      <c r="F1228">
        <v>0</v>
      </c>
      <c r="G1228">
        <v>0</v>
      </c>
      <c r="H1228">
        <v>3400</v>
      </c>
      <c r="I1228">
        <v>85</v>
      </c>
    </row>
    <row r="1229" spans="1:9" x14ac:dyDescent="0.3">
      <c r="A1229" s="1">
        <v>45962</v>
      </c>
      <c r="B1229" t="s">
        <v>103</v>
      </c>
      <c r="C1229" t="s">
        <v>36</v>
      </c>
      <c r="D1229">
        <v>0.03</v>
      </c>
      <c r="E1229">
        <v>1.84</v>
      </c>
      <c r="F1229">
        <v>0</v>
      </c>
      <c r="G1229">
        <v>0</v>
      </c>
      <c r="H1229">
        <v>613</v>
      </c>
      <c r="I1229">
        <v>85</v>
      </c>
    </row>
    <row r="1230" spans="1:9" x14ac:dyDescent="0.3">
      <c r="A1230" s="1">
        <v>45962</v>
      </c>
      <c r="B1230" t="s">
        <v>110</v>
      </c>
      <c r="C1230" t="s">
        <v>36</v>
      </c>
      <c r="D1230">
        <v>0.02</v>
      </c>
      <c r="E1230">
        <v>2.44</v>
      </c>
      <c r="F1230">
        <v>0</v>
      </c>
      <c r="G1230">
        <v>0</v>
      </c>
      <c r="H1230">
        <v>1220</v>
      </c>
      <c r="I1230">
        <v>88</v>
      </c>
    </row>
    <row r="1231" spans="1:9" x14ac:dyDescent="0.3">
      <c r="A1231" s="1">
        <v>45962</v>
      </c>
      <c r="B1231" t="s">
        <v>126</v>
      </c>
      <c r="C1231" t="s">
        <v>36</v>
      </c>
      <c r="D1231">
        <v>0.02</v>
      </c>
      <c r="E1231">
        <v>1.65</v>
      </c>
      <c r="F1231">
        <v>0</v>
      </c>
      <c r="G1231">
        <v>0</v>
      </c>
      <c r="H1231">
        <v>825</v>
      </c>
      <c r="I1231">
        <v>88</v>
      </c>
    </row>
    <row r="1232" spans="1:9" x14ac:dyDescent="0.3">
      <c r="A1232" s="1">
        <v>45992</v>
      </c>
      <c r="B1232" t="s">
        <v>32</v>
      </c>
      <c r="C1232" t="s">
        <v>32</v>
      </c>
      <c r="D1232">
        <v>9799.14</v>
      </c>
      <c r="E1232">
        <v>1360501.94</v>
      </c>
      <c r="F1232">
        <v>45.29</v>
      </c>
      <c r="G1232">
        <v>48.65</v>
      </c>
      <c r="H1232">
        <v>1388</v>
      </c>
      <c r="I1232">
        <v>1</v>
      </c>
    </row>
    <row r="1233" spans="1:9" x14ac:dyDescent="0.3">
      <c r="A1233" s="1">
        <v>45992</v>
      </c>
      <c r="B1233" t="s">
        <v>33</v>
      </c>
      <c r="C1233" t="s">
        <v>33</v>
      </c>
      <c r="D1233">
        <v>7311.67</v>
      </c>
      <c r="E1233">
        <v>956693.92</v>
      </c>
      <c r="F1233">
        <v>33.799999999999997</v>
      </c>
      <c r="G1233">
        <v>34.21</v>
      </c>
      <c r="H1233">
        <v>1308</v>
      </c>
      <c r="I1233">
        <v>2</v>
      </c>
    </row>
    <row r="1234" spans="1:9" x14ac:dyDescent="0.3">
      <c r="A1234" s="1">
        <v>45992</v>
      </c>
      <c r="B1234" t="s">
        <v>34</v>
      </c>
      <c r="C1234" t="s">
        <v>34</v>
      </c>
      <c r="D1234">
        <v>1624.45</v>
      </c>
      <c r="E1234">
        <v>175716.1</v>
      </c>
      <c r="F1234">
        <v>7.51</v>
      </c>
      <c r="G1234">
        <v>6.28</v>
      </c>
      <c r="H1234">
        <v>1082</v>
      </c>
      <c r="I1234">
        <v>3</v>
      </c>
    </row>
    <row r="1235" spans="1:9" x14ac:dyDescent="0.3">
      <c r="A1235" s="1">
        <v>45992</v>
      </c>
      <c r="B1235" t="s">
        <v>37</v>
      </c>
      <c r="C1235" t="s">
        <v>36</v>
      </c>
      <c r="D1235">
        <v>671.89</v>
      </c>
      <c r="E1235">
        <v>35715.89</v>
      </c>
      <c r="F1235">
        <v>3.11</v>
      </c>
      <c r="G1235">
        <v>1.28</v>
      </c>
      <c r="H1235">
        <v>532</v>
      </c>
      <c r="I1235">
        <v>4</v>
      </c>
    </row>
    <row r="1236" spans="1:9" x14ac:dyDescent="0.3">
      <c r="A1236" s="1">
        <v>45992</v>
      </c>
      <c r="B1236" t="s">
        <v>47</v>
      </c>
      <c r="C1236" t="s">
        <v>36</v>
      </c>
      <c r="D1236">
        <v>286.86</v>
      </c>
      <c r="E1236">
        <v>11745.61</v>
      </c>
      <c r="F1236">
        <v>1.33</v>
      </c>
      <c r="G1236">
        <v>0.42</v>
      </c>
      <c r="H1236">
        <v>409</v>
      </c>
      <c r="I1236">
        <v>5</v>
      </c>
    </row>
    <row r="1237" spans="1:9" x14ac:dyDescent="0.3">
      <c r="A1237" s="1">
        <v>45992</v>
      </c>
      <c r="B1237" t="s">
        <v>40</v>
      </c>
      <c r="C1237" t="s">
        <v>36</v>
      </c>
      <c r="D1237">
        <v>159.05000000000001</v>
      </c>
      <c r="E1237">
        <v>2007.01</v>
      </c>
      <c r="F1237">
        <v>0.74</v>
      </c>
      <c r="G1237">
        <v>7.0000000000000007E-2</v>
      </c>
      <c r="H1237">
        <v>126</v>
      </c>
      <c r="I1237">
        <v>6</v>
      </c>
    </row>
    <row r="1238" spans="1:9" x14ac:dyDescent="0.3">
      <c r="A1238" s="1">
        <v>45992</v>
      </c>
      <c r="B1238" t="s">
        <v>35</v>
      </c>
      <c r="C1238" t="s">
        <v>36</v>
      </c>
      <c r="D1238">
        <v>157.25</v>
      </c>
      <c r="E1238">
        <v>59073.03</v>
      </c>
      <c r="F1238">
        <v>0.73</v>
      </c>
      <c r="G1238">
        <v>2.11</v>
      </c>
      <c r="H1238">
        <v>3757</v>
      </c>
      <c r="I1238">
        <v>7</v>
      </c>
    </row>
    <row r="1239" spans="1:9" x14ac:dyDescent="0.3">
      <c r="A1239" s="1">
        <v>45992</v>
      </c>
      <c r="B1239" t="s">
        <v>46</v>
      </c>
      <c r="C1239" t="s">
        <v>36</v>
      </c>
      <c r="D1239">
        <v>155.75</v>
      </c>
      <c r="E1239">
        <v>20246.97</v>
      </c>
      <c r="F1239">
        <v>0.72</v>
      </c>
      <c r="G1239">
        <v>0.72</v>
      </c>
      <c r="H1239">
        <v>1300</v>
      </c>
      <c r="I1239">
        <v>8</v>
      </c>
    </row>
    <row r="1240" spans="1:9" x14ac:dyDescent="0.3">
      <c r="A1240" s="1">
        <v>45992</v>
      </c>
      <c r="B1240" t="s">
        <v>38</v>
      </c>
      <c r="C1240" t="s">
        <v>36</v>
      </c>
      <c r="D1240">
        <v>144.75</v>
      </c>
      <c r="E1240">
        <v>13612.02</v>
      </c>
      <c r="F1240">
        <v>0.67</v>
      </c>
      <c r="G1240">
        <v>0.49</v>
      </c>
      <c r="H1240">
        <v>940</v>
      </c>
      <c r="I1240">
        <v>9</v>
      </c>
    </row>
    <row r="1241" spans="1:9" x14ac:dyDescent="0.3">
      <c r="A1241" s="1">
        <v>45992</v>
      </c>
      <c r="B1241" t="s">
        <v>42</v>
      </c>
      <c r="C1241" t="s">
        <v>36</v>
      </c>
      <c r="D1241">
        <v>100.45</v>
      </c>
      <c r="E1241">
        <v>7399.16</v>
      </c>
      <c r="F1241">
        <v>0.46</v>
      </c>
      <c r="G1241">
        <v>0.26</v>
      </c>
      <c r="H1241">
        <v>737</v>
      </c>
      <c r="I1241">
        <v>10</v>
      </c>
    </row>
    <row r="1242" spans="1:9" x14ac:dyDescent="0.3">
      <c r="A1242" s="1">
        <v>45992</v>
      </c>
      <c r="B1242" t="s">
        <v>43</v>
      </c>
      <c r="C1242" t="s">
        <v>36</v>
      </c>
      <c r="D1242">
        <v>94.55</v>
      </c>
      <c r="E1242">
        <v>11500.65</v>
      </c>
      <c r="F1242">
        <v>0.44</v>
      </c>
      <c r="G1242">
        <v>0.41</v>
      </c>
      <c r="H1242">
        <v>1216</v>
      </c>
      <c r="I1242">
        <v>11</v>
      </c>
    </row>
    <row r="1243" spans="1:9" x14ac:dyDescent="0.3">
      <c r="A1243" s="1">
        <v>45992</v>
      </c>
      <c r="B1243" t="s">
        <v>39</v>
      </c>
      <c r="C1243" t="s">
        <v>36</v>
      </c>
      <c r="D1243">
        <v>86.48</v>
      </c>
      <c r="E1243">
        <v>10133.85</v>
      </c>
      <c r="F1243">
        <v>0.4</v>
      </c>
      <c r="G1243">
        <v>0.36</v>
      </c>
      <c r="H1243">
        <v>1172</v>
      </c>
      <c r="I1243">
        <v>12</v>
      </c>
    </row>
    <row r="1244" spans="1:9" x14ac:dyDescent="0.3">
      <c r="A1244" s="1">
        <v>45992</v>
      </c>
      <c r="B1244" t="s">
        <v>44</v>
      </c>
      <c r="C1244" t="s">
        <v>36</v>
      </c>
      <c r="D1244">
        <v>75.34</v>
      </c>
      <c r="E1244">
        <v>17540.37</v>
      </c>
      <c r="F1244">
        <v>0.35</v>
      </c>
      <c r="G1244">
        <v>0.63</v>
      </c>
      <c r="H1244">
        <v>2328</v>
      </c>
      <c r="I1244">
        <v>13</v>
      </c>
    </row>
    <row r="1245" spans="1:9" x14ac:dyDescent="0.3">
      <c r="A1245" s="1">
        <v>45992</v>
      </c>
      <c r="B1245" t="s">
        <v>41</v>
      </c>
      <c r="C1245" t="s">
        <v>36</v>
      </c>
      <c r="D1245">
        <v>72.52</v>
      </c>
      <c r="E1245">
        <v>18742.95</v>
      </c>
      <c r="F1245">
        <v>0.34</v>
      </c>
      <c r="G1245">
        <v>0.67</v>
      </c>
      <c r="H1245">
        <v>2585</v>
      </c>
      <c r="I1245">
        <v>14</v>
      </c>
    </row>
    <row r="1246" spans="1:9" x14ac:dyDescent="0.3">
      <c r="A1246" s="1">
        <v>45992</v>
      </c>
      <c r="B1246" t="s">
        <v>49</v>
      </c>
      <c r="C1246" t="s">
        <v>36</v>
      </c>
      <c r="D1246">
        <v>63.4</v>
      </c>
      <c r="E1246">
        <v>7451.94</v>
      </c>
      <c r="F1246">
        <v>0.28999999999999998</v>
      </c>
      <c r="G1246">
        <v>0.27</v>
      </c>
      <c r="H1246">
        <v>1175</v>
      </c>
      <c r="I1246">
        <v>15</v>
      </c>
    </row>
    <row r="1247" spans="1:9" x14ac:dyDescent="0.3">
      <c r="A1247" s="1">
        <v>45992</v>
      </c>
      <c r="B1247" t="s">
        <v>45</v>
      </c>
      <c r="C1247" t="s">
        <v>36</v>
      </c>
      <c r="D1247">
        <v>49.47</v>
      </c>
      <c r="E1247">
        <v>6917.69</v>
      </c>
      <c r="F1247">
        <v>0.23</v>
      </c>
      <c r="G1247">
        <v>0.25</v>
      </c>
      <c r="H1247">
        <v>1398</v>
      </c>
      <c r="I1247">
        <v>16</v>
      </c>
    </row>
    <row r="1248" spans="1:9" x14ac:dyDescent="0.3">
      <c r="A1248" s="1">
        <v>45992</v>
      </c>
      <c r="B1248" t="s">
        <v>53</v>
      </c>
      <c r="C1248" t="s">
        <v>36</v>
      </c>
      <c r="D1248">
        <v>34.450000000000003</v>
      </c>
      <c r="E1248">
        <v>3749.59</v>
      </c>
      <c r="F1248">
        <v>0.16</v>
      </c>
      <c r="G1248">
        <v>0.13</v>
      </c>
      <c r="H1248">
        <v>1088</v>
      </c>
      <c r="I1248">
        <v>17</v>
      </c>
    </row>
    <row r="1249" spans="1:9" x14ac:dyDescent="0.3">
      <c r="A1249" s="1">
        <v>45992</v>
      </c>
      <c r="B1249" t="s">
        <v>57</v>
      </c>
      <c r="C1249" t="s">
        <v>36</v>
      </c>
      <c r="D1249">
        <v>17.91</v>
      </c>
      <c r="E1249">
        <v>1893.26</v>
      </c>
      <c r="F1249">
        <v>0.08</v>
      </c>
      <c r="G1249">
        <v>7.0000000000000007E-2</v>
      </c>
      <c r="H1249">
        <v>1057</v>
      </c>
      <c r="I1249">
        <v>18</v>
      </c>
    </row>
    <row r="1250" spans="1:9" x14ac:dyDescent="0.3">
      <c r="A1250" s="1">
        <v>45992</v>
      </c>
      <c r="B1250" t="s">
        <v>48</v>
      </c>
      <c r="C1250" t="s">
        <v>36</v>
      </c>
      <c r="D1250">
        <v>16.05</v>
      </c>
      <c r="E1250">
        <v>1332.95</v>
      </c>
      <c r="F1250">
        <v>7.0000000000000007E-2</v>
      </c>
      <c r="G1250">
        <v>0.05</v>
      </c>
      <c r="H1250">
        <v>830</v>
      </c>
      <c r="I1250">
        <v>19</v>
      </c>
    </row>
    <row r="1251" spans="1:9" x14ac:dyDescent="0.3">
      <c r="A1251" s="1">
        <v>45992</v>
      </c>
      <c r="B1251" t="s">
        <v>50</v>
      </c>
      <c r="C1251" t="s">
        <v>36</v>
      </c>
      <c r="D1251">
        <v>15.87</v>
      </c>
      <c r="E1251">
        <v>11688.01</v>
      </c>
      <c r="F1251">
        <v>7.0000000000000007E-2</v>
      </c>
      <c r="G1251">
        <v>0.42</v>
      </c>
      <c r="H1251">
        <v>7365</v>
      </c>
      <c r="I1251">
        <v>20</v>
      </c>
    </row>
    <row r="1252" spans="1:9" x14ac:dyDescent="0.3">
      <c r="A1252" s="1">
        <v>45992</v>
      </c>
      <c r="B1252" t="s">
        <v>54</v>
      </c>
      <c r="C1252" t="s">
        <v>36</v>
      </c>
      <c r="D1252">
        <v>14.63</v>
      </c>
      <c r="E1252">
        <v>4313.8599999999997</v>
      </c>
      <c r="F1252">
        <v>7.0000000000000007E-2</v>
      </c>
      <c r="G1252">
        <v>0.15</v>
      </c>
      <c r="H1252">
        <v>2949</v>
      </c>
      <c r="I1252">
        <v>21</v>
      </c>
    </row>
    <row r="1253" spans="1:9" x14ac:dyDescent="0.3">
      <c r="A1253" s="1">
        <v>45992</v>
      </c>
      <c r="B1253" t="s">
        <v>55</v>
      </c>
      <c r="C1253" t="s">
        <v>36</v>
      </c>
      <c r="D1253">
        <v>14.49</v>
      </c>
      <c r="E1253">
        <v>3173.31</v>
      </c>
      <c r="F1253">
        <v>7.0000000000000007E-2</v>
      </c>
      <c r="G1253">
        <v>0.11</v>
      </c>
      <c r="H1253">
        <v>2190</v>
      </c>
      <c r="I1253">
        <v>22</v>
      </c>
    </row>
    <row r="1254" spans="1:9" x14ac:dyDescent="0.3">
      <c r="A1254" s="1">
        <v>45992</v>
      </c>
      <c r="B1254" t="s">
        <v>52</v>
      </c>
      <c r="C1254" t="s">
        <v>36</v>
      </c>
      <c r="D1254">
        <v>13.35</v>
      </c>
      <c r="E1254">
        <v>2822.57</v>
      </c>
      <c r="F1254">
        <v>0.06</v>
      </c>
      <c r="G1254">
        <v>0.1</v>
      </c>
      <c r="H1254">
        <v>2114</v>
      </c>
      <c r="I1254">
        <v>23</v>
      </c>
    </row>
    <row r="1255" spans="1:9" x14ac:dyDescent="0.3">
      <c r="A1255" s="1">
        <v>45992</v>
      </c>
      <c r="B1255" t="s">
        <v>56</v>
      </c>
      <c r="C1255" t="s">
        <v>36</v>
      </c>
      <c r="D1255">
        <v>11.36</v>
      </c>
      <c r="E1255">
        <v>745.25</v>
      </c>
      <c r="F1255">
        <v>0.05</v>
      </c>
      <c r="G1255">
        <v>0.03</v>
      </c>
      <c r="H1255">
        <v>656</v>
      </c>
      <c r="I1255">
        <v>24</v>
      </c>
    </row>
    <row r="1256" spans="1:9" x14ac:dyDescent="0.3">
      <c r="A1256" s="1">
        <v>45992</v>
      </c>
      <c r="B1256" t="s">
        <v>65</v>
      </c>
      <c r="C1256" t="s">
        <v>36</v>
      </c>
      <c r="D1256">
        <v>9.3800000000000008</v>
      </c>
      <c r="E1256">
        <v>705.72</v>
      </c>
      <c r="F1256">
        <v>0.04</v>
      </c>
      <c r="G1256">
        <v>0.03</v>
      </c>
      <c r="H1256">
        <v>752</v>
      </c>
      <c r="I1256">
        <v>25</v>
      </c>
    </row>
    <row r="1257" spans="1:9" x14ac:dyDescent="0.3">
      <c r="A1257" s="1">
        <v>45992</v>
      </c>
      <c r="B1257" t="s">
        <v>67</v>
      </c>
      <c r="C1257" t="s">
        <v>36</v>
      </c>
      <c r="D1257">
        <v>8.56</v>
      </c>
      <c r="E1257">
        <v>4327.9799999999996</v>
      </c>
      <c r="F1257">
        <v>0.04</v>
      </c>
      <c r="G1257">
        <v>0.15</v>
      </c>
      <c r="H1257">
        <v>5056</v>
      </c>
      <c r="I1257">
        <v>26</v>
      </c>
    </row>
    <row r="1258" spans="1:9" x14ac:dyDescent="0.3">
      <c r="A1258" s="1">
        <v>45992</v>
      </c>
      <c r="B1258" t="s">
        <v>58</v>
      </c>
      <c r="C1258" t="s">
        <v>36</v>
      </c>
      <c r="D1258">
        <v>7.33</v>
      </c>
      <c r="E1258">
        <v>1853.24</v>
      </c>
      <c r="F1258">
        <v>0.03</v>
      </c>
      <c r="G1258">
        <v>7.0000000000000007E-2</v>
      </c>
      <c r="H1258">
        <v>2528</v>
      </c>
      <c r="I1258">
        <v>27</v>
      </c>
    </row>
    <row r="1259" spans="1:9" x14ac:dyDescent="0.3">
      <c r="A1259" s="1">
        <v>45992</v>
      </c>
      <c r="B1259" t="s">
        <v>62</v>
      </c>
      <c r="C1259" t="s">
        <v>36</v>
      </c>
      <c r="D1259">
        <v>6.39</v>
      </c>
      <c r="E1259">
        <v>440.97</v>
      </c>
      <c r="F1259">
        <v>0.03</v>
      </c>
      <c r="G1259">
        <v>0.02</v>
      </c>
      <c r="H1259">
        <v>690</v>
      </c>
      <c r="I1259">
        <v>28</v>
      </c>
    </row>
    <row r="1260" spans="1:9" x14ac:dyDescent="0.3">
      <c r="A1260" s="1">
        <v>45992</v>
      </c>
      <c r="B1260" t="s">
        <v>59</v>
      </c>
      <c r="C1260" t="s">
        <v>36</v>
      </c>
      <c r="D1260">
        <v>6.09</v>
      </c>
      <c r="E1260">
        <v>966.07</v>
      </c>
      <c r="F1260">
        <v>0.03</v>
      </c>
      <c r="G1260">
        <v>0.03</v>
      </c>
      <c r="H1260">
        <v>1586</v>
      </c>
      <c r="I1260">
        <v>29</v>
      </c>
    </row>
    <row r="1261" spans="1:9" x14ac:dyDescent="0.3">
      <c r="A1261" s="1">
        <v>45992</v>
      </c>
      <c r="B1261" t="s">
        <v>60</v>
      </c>
      <c r="C1261" t="s">
        <v>36</v>
      </c>
      <c r="D1261">
        <v>5.36</v>
      </c>
      <c r="E1261">
        <v>827.1</v>
      </c>
      <c r="F1261">
        <v>0.02</v>
      </c>
      <c r="G1261">
        <v>0.03</v>
      </c>
      <c r="H1261">
        <v>1543</v>
      </c>
      <c r="I1261">
        <v>30</v>
      </c>
    </row>
    <row r="1262" spans="1:9" x14ac:dyDescent="0.3">
      <c r="A1262" s="1">
        <v>45992</v>
      </c>
      <c r="B1262" t="s">
        <v>61</v>
      </c>
      <c r="C1262" t="s">
        <v>36</v>
      </c>
      <c r="D1262">
        <v>4.53</v>
      </c>
      <c r="E1262">
        <v>1142.72</v>
      </c>
      <c r="F1262">
        <v>0.02</v>
      </c>
      <c r="G1262">
        <v>0.04</v>
      </c>
      <c r="H1262">
        <v>2523</v>
      </c>
      <c r="I1262">
        <v>31</v>
      </c>
    </row>
    <row r="1263" spans="1:9" x14ac:dyDescent="0.3">
      <c r="A1263" s="1">
        <v>45992</v>
      </c>
      <c r="B1263" t="s">
        <v>94</v>
      </c>
      <c r="C1263" t="s">
        <v>36</v>
      </c>
      <c r="D1263">
        <v>3.77</v>
      </c>
      <c r="E1263">
        <v>316.05</v>
      </c>
      <c r="F1263">
        <v>0.02</v>
      </c>
      <c r="G1263">
        <v>0.01</v>
      </c>
      <c r="H1263">
        <v>838</v>
      </c>
      <c r="I1263">
        <v>32</v>
      </c>
    </row>
    <row r="1264" spans="1:9" x14ac:dyDescent="0.3">
      <c r="A1264" s="1">
        <v>45992</v>
      </c>
      <c r="B1264" t="s">
        <v>115</v>
      </c>
      <c r="C1264" t="s">
        <v>36</v>
      </c>
      <c r="D1264">
        <v>3.33</v>
      </c>
      <c r="E1264">
        <v>1054.69</v>
      </c>
      <c r="F1264">
        <v>0.02</v>
      </c>
      <c r="G1264">
        <v>0.04</v>
      </c>
      <c r="H1264">
        <v>3167</v>
      </c>
      <c r="I1264">
        <v>33</v>
      </c>
    </row>
    <row r="1265" spans="1:9" x14ac:dyDescent="0.3">
      <c r="A1265" s="1">
        <v>45992</v>
      </c>
      <c r="B1265" t="s">
        <v>82</v>
      </c>
      <c r="C1265" t="s">
        <v>36</v>
      </c>
      <c r="D1265">
        <v>3.1</v>
      </c>
      <c r="E1265">
        <v>439.43</v>
      </c>
      <c r="F1265">
        <v>0.01</v>
      </c>
      <c r="G1265">
        <v>0.02</v>
      </c>
      <c r="H1265">
        <v>1418</v>
      </c>
      <c r="I1265">
        <v>34</v>
      </c>
    </row>
    <row r="1266" spans="1:9" x14ac:dyDescent="0.3">
      <c r="A1266" s="1">
        <v>45992</v>
      </c>
      <c r="B1266" t="s">
        <v>63</v>
      </c>
      <c r="C1266" t="s">
        <v>36</v>
      </c>
      <c r="D1266">
        <v>2.96</v>
      </c>
      <c r="E1266">
        <v>748.71</v>
      </c>
      <c r="F1266">
        <v>0.01</v>
      </c>
      <c r="G1266">
        <v>0.03</v>
      </c>
      <c r="H1266">
        <v>2529</v>
      </c>
      <c r="I1266">
        <v>35</v>
      </c>
    </row>
    <row r="1267" spans="1:9" x14ac:dyDescent="0.3">
      <c r="A1267" s="1">
        <v>45992</v>
      </c>
      <c r="B1267" t="s">
        <v>51</v>
      </c>
      <c r="C1267" t="s">
        <v>36</v>
      </c>
      <c r="D1267">
        <v>2.8</v>
      </c>
      <c r="E1267">
        <v>152.97</v>
      </c>
      <c r="F1267">
        <v>0.01</v>
      </c>
      <c r="G1267">
        <v>0.01</v>
      </c>
      <c r="H1267">
        <v>546</v>
      </c>
      <c r="I1267">
        <v>36</v>
      </c>
    </row>
    <row r="1268" spans="1:9" x14ac:dyDescent="0.3">
      <c r="A1268" s="1">
        <v>45992</v>
      </c>
      <c r="B1268" t="s">
        <v>108</v>
      </c>
      <c r="C1268" t="s">
        <v>36</v>
      </c>
      <c r="D1268">
        <v>2.59</v>
      </c>
      <c r="E1268">
        <v>381.14</v>
      </c>
      <c r="F1268">
        <v>0.01</v>
      </c>
      <c r="G1268">
        <v>0.01</v>
      </c>
      <c r="H1268">
        <v>1472</v>
      </c>
      <c r="I1268">
        <v>37</v>
      </c>
    </row>
    <row r="1269" spans="1:9" x14ac:dyDescent="0.3">
      <c r="A1269" s="1">
        <v>45992</v>
      </c>
      <c r="B1269" t="s">
        <v>71</v>
      </c>
      <c r="C1269" t="s">
        <v>36</v>
      </c>
      <c r="D1269">
        <v>2.5</v>
      </c>
      <c r="E1269">
        <v>390.02</v>
      </c>
      <c r="F1269">
        <v>0.01</v>
      </c>
      <c r="G1269">
        <v>0.01</v>
      </c>
      <c r="H1269">
        <v>1560</v>
      </c>
      <c r="I1269">
        <v>38</v>
      </c>
    </row>
    <row r="1270" spans="1:9" x14ac:dyDescent="0.3">
      <c r="A1270" s="1">
        <v>45992</v>
      </c>
      <c r="B1270" t="s">
        <v>83</v>
      </c>
      <c r="C1270" t="s">
        <v>36</v>
      </c>
      <c r="D1270">
        <v>2.5</v>
      </c>
      <c r="E1270">
        <v>5.76</v>
      </c>
      <c r="F1270">
        <v>0.01</v>
      </c>
      <c r="G1270">
        <v>0</v>
      </c>
      <c r="H1270">
        <v>23</v>
      </c>
      <c r="I1270">
        <v>38</v>
      </c>
    </row>
    <row r="1271" spans="1:9" x14ac:dyDescent="0.3">
      <c r="A1271" s="1">
        <v>45992</v>
      </c>
      <c r="B1271" t="s">
        <v>98</v>
      </c>
      <c r="C1271" t="s">
        <v>36</v>
      </c>
      <c r="D1271">
        <v>2.46</v>
      </c>
      <c r="E1271">
        <v>206.84</v>
      </c>
      <c r="F1271">
        <v>0.01</v>
      </c>
      <c r="G1271">
        <v>0.01</v>
      </c>
      <c r="H1271">
        <v>841</v>
      </c>
      <c r="I1271">
        <v>40</v>
      </c>
    </row>
    <row r="1272" spans="1:9" x14ac:dyDescent="0.3">
      <c r="A1272" s="1">
        <v>45992</v>
      </c>
      <c r="B1272" t="s">
        <v>69</v>
      </c>
      <c r="C1272" t="s">
        <v>36</v>
      </c>
      <c r="D1272">
        <v>2.25</v>
      </c>
      <c r="E1272">
        <v>566.75</v>
      </c>
      <c r="F1272">
        <v>0.01</v>
      </c>
      <c r="G1272">
        <v>0.02</v>
      </c>
      <c r="H1272">
        <v>2519</v>
      </c>
      <c r="I1272">
        <v>41</v>
      </c>
    </row>
    <row r="1273" spans="1:9" x14ac:dyDescent="0.3">
      <c r="A1273" s="1">
        <v>45992</v>
      </c>
      <c r="B1273" t="s">
        <v>68</v>
      </c>
      <c r="C1273" t="s">
        <v>36</v>
      </c>
      <c r="D1273">
        <v>1.95</v>
      </c>
      <c r="E1273">
        <v>134.81</v>
      </c>
      <c r="F1273">
        <v>0.01</v>
      </c>
      <c r="G1273">
        <v>0</v>
      </c>
      <c r="H1273">
        <v>691</v>
      </c>
      <c r="I1273">
        <v>42</v>
      </c>
    </row>
    <row r="1274" spans="1:9" x14ac:dyDescent="0.3">
      <c r="A1274" s="1">
        <v>45992</v>
      </c>
      <c r="B1274" t="s">
        <v>66</v>
      </c>
      <c r="C1274" t="s">
        <v>36</v>
      </c>
      <c r="D1274">
        <v>1.81</v>
      </c>
      <c r="E1274">
        <v>37.130000000000003</v>
      </c>
      <c r="F1274">
        <v>0.01</v>
      </c>
      <c r="G1274">
        <v>0</v>
      </c>
      <c r="H1274">
        <v>205</v>
      </c>
      <c r="I1274">
        <v>43</v>
      </c>
    </row>
    <row r="1275" spans="1:9" x14ac:dyDescent="0.3">
      <c r="A1275" s="1">
        <v>45992</v>
      </c>
      <c r="B1275" t="s">
        <v>112</v>
      </c>
      <c r="C1275" t="s">
        <v>36</v>
      </c>
      <c r="D1275">
        <v>1.79</v>
      </c>
      <c r="E1275">
        <v>103.65</v>
      </c>
      <c r="F1275">
        <v>0.01</v>
      </c>
      <c r="G1275">
        <v>0</v>
      </c>
      <c r="H1275">
        <v>579</v>
      </c>
      <c r="I1275">
        <v>44</v>
      </c>
    </row>
    <row r="1276" spans="1:9" x14ac:dyDescent="0.3">
      <c r="A1276" s="1">
        <v>45992</v>
      </c>
      <c r="B1276" t="s">
        <v>80</v>
      </c>
      <c r="C1276" t="s">
        <v>36</v>
      </c>
      <c r="D1276">
        <v>1.7</v>
      </c>
      <c r="E1276">
        <v>266.08999999999997</v>
      </c>
      <c r="F1276">
        <v>0.01</v>
      </c>
      <c r="G1276">
        <v>0.01</v>
      </c>
      <c r="H1276">
        <v>1565</v>
      </c>
      <c r="I1276">
        <v>45</v>
      </c>
    </row>
    <row r="1277" spans="1:9" x14ac:dyDescent="0.3">
      <c r="A1277" s="1">
        <v>45992</v>
      </c>
      <c r="B1277" t="s">
        <v>64</v>
      </c>
      <c r="C1277" t="s">
        <v>36</v>
      </c>
      <c r="D1277">
        <v>1.59</v>
      </c>
      <c r="E1277">
        <v>474.12</v>
      </c>
      <c r="F1277">
        <v>0.01</v>
      </c>
      <c r="G1277">
        <v>0.02</v>
      </c>
      <c r="H1277">
        <v>2982</v>
      </c>
      <c r="I1277">
        <v>46</v>
      </c>
    </row>
    <row r="1278" spans="1:9" x14ac:dyDescent="0.3">
      <c r="A1278" s="1">
        <v>45992</v>
      </c>
      <c r="B1278" t="s">
        <v>122</v>
      </c>
      <c r="C1278" t="s">
        <v>36</v>
      </c>
      <c r="D1278">
        <v>1.57</v>
      </c>
      <c r="E1278">
        <v>77.28</v>
      </c>
      <c r="F1278">
        <v>0.01</v>
      </c>
      <c r="G1278">
        <v>0</v>
      </c>
      <c r="H1278">
        <v>492</v>
      </c>
      <c r="I1278">
        <v>47</v>
      </c>
    </row>
    <row r="1279" spans="1:9" x14ac:dyDescent="0.3">
      <c r="A1279" s="1">
        <v>45992</v>
      </c>
      <c r="B1279" t="s">
        <v>72</v>
      </c>
      <c r="C1279" t="s">
        <v>36</v>
      </c>
      <c r="D1279">
        <v>1.46</v>
      </c>
      <c r="E1279">
        <v>26.21</v>
      </c>
      <c r="F1279">
        <v>0.01</v>
      </c>
      <c r="G1279">
        <v>0</v>
      </c>
      <c r="H1279">
        <v>180</v>
      </c>
      <c r="I1279">
        <v>48</v>
      </c>
    </row>
    <row r="1280" spans="1:9" x14ac:dyDescent="0.3">
      <c r="A1280" s="1">
        <v>45992</v>
      </c>
      <c r="B1280" t="s">
        <v>81</v>
      </c>
      <c r="C1280" t="s">
        <v>36</v>
      </c>
      <c r="D1280">
        <v>1.43</v>
      </c>
      <c r="E1280">
        <v>111.67</v>
      </c>
      <c r="F1280">
        <v>0.01</v>
      </c>
      <c r="G1280">
        <v>0</v>
      </c>
      <c r="H1280">
        <v>781</v>
      </c>
      <c r="I1280">
        <v>49</v>
      </c>
    </row>
    <row r="1281" spans="1:9" x14ac:dyDescent="0.3">
      <c r="A1281" s="1">
        <v>45992</v>
      </c>
      <c r="B1281" t="s">
        <v>109</v>
      </c>
      <c r="C1281" t="s">
        <v>36</v>
      </c>
      <c r="D1281">
        <v>1.28</v>
      </c>
      <c r="E1281">
        <v>133.33000000000001</v>
      </c>
      <c r="F1281">
        <v>0.01</v>
      </c>
      <c r="G1281">
        <v>0</v>
      </c>
      <c r="H1281">
        <v>1042</v>
      </c>
      <c r="I1281">
        <v>50</v>
      </c>
    </row>
    <row r="1282" spans="1:9" x14ac:dyDescent="0.3">
      <c r="A1282" s="1">
        <v>45992</v>
      </c>
      <c r="B1282" t="s">
        <v>76</v>
      </c>
      <c r="C1282" t="s">
        <v>36</v>
      </c>
      <c r="D1282">
        <v>1.26</v>
      </c>
      <c r="E1282">
        <v>156.91</v>
      </c>
      <c r="F1282">
        <v>0.01</v>
      </c>
      <c r="G1282">
        <v>0.01</v>
      </c>
      <c r="H1282">
        <v>1245</v>
      </c>
      <c r="I1282">
        <v>51</v>
      </c>
    </row>
    <row r="1283" spans="1:9" x14ac:dyDescent="0.3">
      <c r="A1283" s="1">
        <v>45992</v>
      </c>
      <c r="B1283" t="s">
        <v>79</v>
      </c>
      <c r="C1283" t="s">
        <v>36</v>
      </c>
      <c r="D1283">
        <v>1.25</v>
      </c>
      <c r="E1283">
        <v>421.6</v>
      </c>
      <c r="F1283">
        <v>0.01</v>
      </c>
      <c r="G1283">
        <v>0.02</v>
      </c>
      <c r="H1283">
        <v>3373</v>
      </c>
      <c r="I1283">
        <v>52</v>
      </c>
    </row>
    <row r="1284" spans="1:9" x14ac:dyDescent="0.3">
      <c r="A1284" s="1">
        <v>45992</v>
      </c>
      <c r="B1284" t="s">
        <v>124</v>
      </c>
      <c r="C1284" t="s">
        <v>36</v>
      </c>
      <c r="D1284">
        <v>1.01</v>
      </c>
      <c r="E1284">
        <v>16.97</v>
      </c>
      <c r="F1284">
        <v>0</v>
      </c>
      <c r="G1284">
        <v>0</v>
      </c>
      <c r="H1284">
        <v>168</v>
      </c>
      <c r="I1284">
        <v>53</v>
      </c>
    </row>
    <row r="1285" spans="1:9" x14ac:dyDescent="0.3">
      <c r="A1285" s="1">
        <v>45992</v>
      </c>
      <c r="B1285" t="s">
        <v>77</v>
      </c>
      <c r="C1285" t="s">
        <v>36</v>
      </c>
      <c r="D1285">
        <v>1</v>
      </c>
      <c r="E1285">
        <v>87.85</v>
      </c>
      <c r="F1285">
        <v>0</v>
      </c>
      <c r="G1285">
        <v>0</v>
      </c>
      <c r="H1285">
        <v>879</v>
      </c>
      <c r="I1285">
        <v>54</v>
      </c>
    </row>
    <row r="1286" spans="1:9" x14ac:dyDescent="0.3">
      <c r="A1286" s="1">
        <v>45992</v>
      </c>
      <c r="B1286" t="s">
        <v>73</v>
      </c>
      <c r="C1286" t="s">
        <v>36</v>
      </c>
      <c r="D1286">
        <v>0.94</v>
      </c>
      <c r="E1286">
        <v>273.39</v>
      </c>
      <c r="F1286">
        <v>0</v>
      </c>
      <c r="G1286">
        <v>0.01</v>
      </c>
      <c r="H1286">
        <v>2908</v>
      </c>
      <c r="I1286">
        <v>55</v>
      </c>
    </row>
    <row r="1287" spans="1:9" x14ac:dyDescent="0.3">
      <c r="A1287" s="1">
        <v>45992</v>
      </c>
      <c r="B1287" t="s">
        <v>74</v>
      </c>
      <c r="C1287" t="s">
        <v>36</v>
      </c>
      <c r="D1287">
        <v>0.93</v>
      </c>
      <c r="E1287">
        <v>273.45999999999998</v>
      </c>
      <c r="F1287">
        <v>0</v>
      </c>
      <c r="G1287">
        <v>0.01</v>
      </c>
      <c r="H1287">
        <v>2940</v>
      </c>
      <c r="I1287">
        <v>56</v>
      </c>
    </row>
    <row r="1288" spans="1:9" x14ac:dyDescent="0.3">
      <c r="A1288" s="1">
        <v>45992</v>
      </c>
      <c r="B1288" t="s">
        <v>78</v>
      </c>
      <c r="C1288" t="s">
        <v>36</v>
      </c>
      <c r="D1288">
        <v>0.81</v>
      </c>
      <c r="E1288">
        <v>264.18</v>
      </c>
      <c r="F1288">
        <v>0</v>
      </c>
      <c r="G1288">
        <v>0.01</v>
      </c>
      <c r="H1288">
        <v>3261</v>
      </c>
      <c r="I1288">
        <v>57</v>
      </c>
    </row>
    <row r="1289" spans="1:9" x14ac:dyDescent="0.3">
      <c r="A1289" s="1">
        <v>45992</v>
      </c>
      <c r="B1289" t="s">
        <v>75</v>
      </c>
      <c r="C1289" t="s">
        <v>36</v>
      </c>
      <c r="D1289">
        <v>0.63</v>
      </c>
      <c r="E1289">
        <v>224.56</v>
      </c>
      <c r="F1289">
        <v>0</v>
      </c>
      <c r="G1289">
        <v>0.01</v>
      </c>
      <c r="H1289">
        <v>3564</v>
      </c>
      <c r="I1289">
        <v>58</v>
      </c>
    </row>
    <row r="1290" spans="1:9" x14ac:dyDescent="0.3">
      <c r="A1290" s="1">
        <v>45992</v>
      </c>
      <c r="B1290" t="s">
        <v>100</v>
      </c>
      <c r="C1290" t="s">
        <v>36</v>
      </c>
      <c r="D1290">
        <v>0.62</v>
      </c>
      <c r="E1290">
        <v>784.25</v>
      </c>
      <c r="F1290">
        <v>0</v>
      </c>
      <c r="G1290">
        <v>0.03</v>
      </c>
      <c r="H1290">
        <v>12649</v>
      </c>
      <c r="I1290">
        <v>59</v>
      </c>
    </row>
    <row r="1291" spans="1:9" x14ac:dyDescent="0.3">
      <c r="A1291" s="1">
        <v>45992</v>
      </c>
      <c r="B1291" t="s">
        <v>114</v>
      </c>
      <c r="C1291" t="s">
        <v>36</v>
      </c>
      <c r="D1291">
        <v>0.61</v>
      </c>
      <c r="E1291">
        <v>54.13</v>
      </c>
      <c r="F1291">
        <v>0</v>
      </c>
      <c r="G1291">
        <v>0</v>
      </c>
      <c r="H1291">
        <v>887</v>
      </c>
      <c r="I1291">
        <v>60</v>
      </c>
    </row>
    <row r="1292" spans="1:9" x14ac:dyDescent="0.3">
      <c r="A1292" s="1">
        <v>45992</v>
      </c>
      <c r="B1292" t="s">
        <v>84</v>
      </c>
      <c r="C1292" t="s">
        <v>36</v>
      </c>
      <c r="D1292">
        <v>0.6</v>
      </c>
      <c r="E1292">
        <v>164.56</v>
      </c>
      <c r="F1292">
        <v>0</v>
      </c>
      <c r="G1292">
        <v>0.01</v>
      </c>
      <c r="H1292">
        <v>2743</v>
      </c>
      <c r="I1292">
        <v>61</v>
      </c>
    </row>
    <row r="1293" spans="1:9" x14ac:dyDescent="0.3">
      <c r="A1293" s="1">
        <v>45992</v>
      </c>
      <c r="B1293" t="s">
        <v>103</v>
      </c>
      <c r="C1293" t="s">
        <v>36</v>
      </c>
      <c r="D1293">
        <v>0.59</v>
      </c>
      <c r="E1293">
        <v>56.56</v>
      </c>
      <c r="F1293">
        <v>0</v>
      </c>
      <c r="G1293">
        <v>0</v>
      </c>
      <c r="H1293">
        <v>959</v>
      </c>
      <c r="I1293">
        <v>62</v>
      </c>
    </row>
    <row r="1294" spans="1:9" x14ac:dyDescent="0.3">
      <c r="A1294" s="1">
        <v>45992</v>
      </c>
      <c r="B1294" t="s">
        <v>70</v>
      </c>
      <c r="C1294" t="s">
        <v>36</v>
      </c>
      <c r="D1294">
        <v>0.46</v>
      </c>
      <c r="E1294">
        <v>150.27000000000001</v>
      </c>
      <c r="F1294">
        <v>0</v>
      </c>
      <c r="G1294">
        <v>0.01</v>
      </c>
      <c r="H1294">
        <v>3267</v>
      </c>
      <c r="I1294">
        <v>63</v>
      </c>
    </row>
    <row r="1295" spans="1:9" x14ac:dyDescent="0.3">
      <c r="A1295" s="1">
        <v>45992</v>
      </c>
      <c r="B1295" t="s">
        <v>102</v>
      </c>
      <c r="C1295" t="s">
        <v>36</v>
      </c>
      <c r="D1295">
        <v>0.42</v>
      </c>
      <c r="E1295">
        <v>25.24</v>
      </c>
      <c r="F1295">
        <v>0</v>
      </c>
      <c r="G1295">
        <v>0</v>
      </c>
      <c r="H1295">
        <v>601</v>
      </c>
      <c r="I1295">
        <v>64</v>
      </c>
    </row>
    <row r="1296" spans="1:9" x14ac:dyDescent="0.3">
      <c r="A1296" s="1">
        <v>45992</v>
      </c>
      <c r="B1296" t="s">
        <v>87</v>
      </c>
      <c r="C1296" t="s">
        <v>36</v>
      </c>
      <c r="D1296">
        <v>0.41</v>
      </c>
      <c r="E1296">
        <v>122.83</v>
      </c>
      <c r="F1296">
        <v>0</v>
      </c>
      <c r="G1296">
        <v>0</v>
      </c>
      <c r="H1296">
        <v>2996</v>
      </c>
      <c r="I1296">
        <v>65</v>
      </c>
    </row>
    <row r="1297" spans="1:9" x14ac:dyDescent="0.3">
      <c r="A1297" s="1">
        <v>45992</v>
      </c>
      <c r="B1297" t="s">
        <v>97</v>
      </c>
      <c r="C1297" t="s">
        <v>36</v>
      </c>
      <c r="D1297">
        <v>0.4</v>
      </c>
      <c r="E1297">
        <v>33.659999999999997</v>
      </c>
      <c r="F1297">
        <v>0</v>
      </c>
      <c r="G1297">
        <v>0</v>
      </c>
      <c r="H1297">
        <v>842</v>
      </c>
      <c r="I1297">
        <v>66</v>
      </c>
    </row>
    <row r="1298" spans="1:9" x14ac:dyDescent="0.3">
      <c r="A1298" s="1">
        <v>45992</v>
      </c>
      <c r="B1298" t="s">
        <v>89</v>
      </c>
      <c r="C1298" t="s">
        <v>36</v>
      </c>
      <c r="D1298">
        <v>0.38</v>
      </c>
      <c r="E1298">
        <v>120.71</v>
      </c>
      <c r="F1298">
        <v>0</v>
      </c>
      <c r="G1298">
        <v>0</v>
      </c>
      <c r="H1298">
        <v>3177</v>
      </c>
      <c r="I1298">
        <v>67</v>
      </c>
    </row>
    <row r="1299" spans="1:9" x14ac:dyDescent="0.3">
      <c r="A1299" s="1">
        <v>45992</v>
      </c>
      <c r="B1299" t="s">
        <v>85</v>
      </c>
      <c r="C1299" t="s">
        <v>36</v>
      </c>
      <c r="D1299">
        <v>0.37</v>
      </c>
      <c r="E1299">
        <v>126.35</v>
      </c>
      <c r="F1299">
        <v>0</v>
      </c>
      <c r="G1299">
        <v>0</v>
      </c>
      <c r="H1299">
        <v>3415</v>
      </c>
      <c r="I1299">
        <v>68</v>
      </c>
    </row>
    <row r="1300" spans="1:9" x14ac:dyDescent="0.3">
      <c r="A1300" s="1">
        <v>45992</v>
      </c>
      <c r="B1300" t="s">
        <v>113</v>
      </c>
      <c r="C1300" t="s">
        <v>36</v>
      </c>
      <c r="D1300">
        <v>0.36</v>
      </c>
      <c r="E1300">
        <v>32.520000000000003</v>
      </c>
      <c r="F1300">
        <v>0</v>
      </c>
      <c r="G1300">
        <v>0</v>
      </c>
      <c r="H1300">
        <v>903</v>
      </c>
      <c r="I1300">
        <v>69</v>
      </c>
    </row>
    <row r="1301" spans="1:9" x14ac:dyDescent="0.3">
      <c r="A1301" s="1">
        <v>45992</v>
      </c>
      <c r="B1301" t="s">
        <v>88</v>
      </c>
      <c r="C1301" t="s">
        <v>36</v>
      </c>
      <c r="D1301">
        <v>0.28999999999999998</v>
      </c>
      <c r="E1301">
        <v>68.64</v>
      </c>
      <c r="F1301">
        <v>0</v>
      </c>
      <c r="G1301">
        <v>0</v>
      </c>
      <c r="H1301">
        <v>2367</v>
      </c>
      <c r="I1301">
        <v>70</v>
      </c>
    </row>
    <row r="1302" spans="1:9" x14ac:dyDescent="0.3">
      <c r="A1302" s="1">
        <v>45992</v>
      </c>
      <c r="B1302" t="s">
        <v>121</v>
      </c>
      <c r="C1302" t="s">
        <v>36</v>
      </c>
      <c r="D1302">
        <v>0.25</v>
      </c>
      <c r="E1302">
        <v>6.05</v>
      </c>
      <c r="F1302">
        <v>0</v>
      </c>
      <c r="G1302">
        <v>0</v>
      </c>
      <c r="H1302">
        <v>242</v>
      </c>
      <c r="I1302">
        <v>71</v>
      </c>
    </row>
    <row r="1303" spans="1:9" x14ac:dyDescent="0.3">
      <c r="A1303" s="1">
        <v>45992</v>
      </c>
      <c r="B1303" t="s">
        <v>99</v>
      </c>
      <c r="C1303" t="s">
        <v>36</v>
      </c>
      <c r="D1303">
        <v>0.21</v>
      </c>
      <c r="E1303">
        <v>7.24</v>
      </c>
      <c r="F1303">
        <v>0</v>
      </c>
      <c r="G1303">
        <v>0</v>
      </c>
      <c r="H1303">
        <v>345</v>
      </c>
      <c r="I1303">
        <v>72</v>
      </c>
    </row>
    <row r="1304" spans="1:9" x14ac:dyDescent="0.3">
      <c r="A1304" s="1">
        <v>45992</v>
      </c>
      <c r="B1304" t="s">
        <v>90</v>
      </c>
      <c r="C1304" t="s">
        <v>36</v>
      </c>
      <c r="D1304">
        <v>0.21</v>
      </c>
      <c r="E1304">
        <v>9.1</v>
      </c>
      <c r="F1304">
        <v>0</v>
      </c>
      <c r="G1304">
        <v>0</v>
      </c>
      <c r="H1304">
        <v>433</v>
      </c>
      <c r="I1304">
        <v>72</v>
      </c>
    </row>
    <row r="1305" spans="1:9" x14ac:dyDescent="0.3">
      <c r="A1305" s="1">
        <v>45992</v>
      </c>
      <c r="B1305" t="s">
        <v>86</v>
      </c>
      <c r="C1305" t="s">
        <v>36</v>
      </c>
      <c r="D1305">
        <v>0.19</v>
      </c>
      <c r="E1305">
        <v>52.64</v>
      </c>
      <c r="F1305">
        <v>0</v>
      </c>
      <c r="G1305">
        <v>0</v>
      </c>
      <c r="H1305">
        <v>2771</v>
      </c>
      <c r="I1305">
        <v>74</v>
      </c>
    </row>
    <row r="1306" spans="1:9" x14ac:dyDescent="0.3">
      <c r="A1306" s="1">
        <v>45992</v>
      </c>
      <c r="B1306" t="s">
        <v>93</v>
      </c>
      <c r="C1306" t="s">
        <v>36</v>
      </c>
      <c r="D1306">
        <v>0.17</v>
      </c>
      <c r="E1306">
        <v>84.4</v>
      </c>
      <c r="F1306">
        <v>0</v>
      </c>
      <c r="G1306">
        <v>0</v>
      </c>
      <c r="H1306">
        <v>4965</v>
      </c>
      <c r="I1306">
        <v>75</v>
      </c>
    </row>
    <row r="1307" spans="1:9" x14ac:dyDescent="0.3">
      <c r="A1307" s="1">
        <v>45992</v>
      </c>
      <c r="B1307" t="s">
        <v>117</v>
      </c>
      <c r="C1307" t="s">
        <v>36</v>
      </c>
      <c r="D1307">
        <v>0.17</v>
      </c>
      <c r="E1307">
        <v>26.26</v>
      </c>
      <c r="F1307">
        <v>0</v>
      </c>
      <c r="G1307">
        <v>0</v>
      </c>
      <c r="H1307">
        <v>1545</v>
      </c>
      <c r="I1307">
        <v>75</v>
      </c>
    </row>
    <row r="1308" spans="1:9" x14ac:dyDescent="0.3">
      <c r="A1308" s="1">
        <v>45992</v>
      </c>
      <c r="B1308" t="s">
        <v>101</v>
      </c>
      <c r="C1308" t="s">
        <v>36</v>
      </c>
      <c r="D1308">
        <v>0.13</v>
      </c>
      <c r="E1308">
        <v>45.88</v>
      </c>
      <c r="F1308">
        <v>0</v>
      </c>
      <c r="G1308">
        <v>0</v>
      </c>
      <c r="H1308">
        <v>3529</v>
      </c>
      <c r="I1308">
        <v>77</v>
      </c>
    </row>
    <row r="1309" spans="1:9" x14ac:dyDescent="0.3">
      <c r="A1309" s="1">
        <v>45992</v>
      </c>
      <c r="B1309" t="s">
        <v>123</v>
      </c>
      <c r="C1309" t="s">
        <v>36</v>
      </c>
      <c r="D1309">
        <v>0.13</v>
      </c>
      <c r="E1309">
        <v>15.83</v>
      </c>
      <c r="F1309">
        <v>0</v>
      </c>
      <c r="G1309">
        <v>0</v>
      </c>
      <c r="H1309">
        <v>1218</v>
      </c>
      <c r="I1309">
        <v>77</v>
      </c>
    </row>
    <row r="1310" spans="1:9" x14ac:dyDescent="0.3">
      <c r="A1310" s="1">
        <v>45992</v>
      </c>
      <c r="B1310" t="s">
        <v>96</v>
      </c>
      <c r="C1310" t="s">
        <v>36</v>
      </c>
      <c r="D1310">
        <v>0.11</v>
      </c>
      <c r="E1310">
        <v>39.25</v>
      </c>
      <c r="F1310">
        <v>0</v>
      </c>
      <c r="G1310">
        <v>0</v>
      </c>
      <c r="H1310">
        <v>3568</v>
      </c>
      <c r="I1310">
        <v>79</v>
      </c>
    </row>
    <row r="1311" spans="1:9" x14ac:dyDescent="0.3">
      <c r="A1311" s="1">
        <v>45992</v>
      </c>
      <c r="B1311" t="s">
        <v>119</v>
      </c>
      <c r="C1311" t="s">
        <v>36</v>
      </c>
      <c r="D1311">
        <v>0.1</v>
      </c>
      <c r="E1311">
        <v>10.220000000000001</v>
      </c>
      <c r="F1311">
        <v>0</v>
      </c>
      <c r="G1311">
        <v>0</v>
      </c>
      <c r="H1311">
        <v>1022</v>
      </c>
      <c r="I1311">
        <v>80</v>
      </c>
    </row>
    <row r="1312" spans="1:9" x14ac:dyDescent="0.3">
      <c r="A1312" s="1">
        <v>45992</v>
      </c>
      <c r="B1312" t="s">
        <v>118</v>
      </c>
      <c r="C1312" t="s">
        <v>36</v>
      </c>
      <c r="D1312">
        <v>0.08</v>
      </c>
      <c r="E1312">
        <v>26.45</v>
      </c>
      <c r="F1312">
        <v>0</v>
      </c>
      <c r="G1312">
        <v>0</v>
      </c>
      <c r="H1312">
        <v>3306</v>
      </c>
      <c r="I1312">
        <v>81</v>
      </c>
    </row>
    <row r="1313" spans="1:9" x14ac:dyDescent="0.3">
      <c r="A1313" s="1">
        <v>45992</v>
      </c>
      <c r="B1313" t="s">
        <v>95</v>
      </c>
      <c r="C1313" t="s">
        <v>36</v>
      </c>
      <c r="D1313">
        <v>7.0000000000000007E-2</v>
      </c>
      <c r="E1313">
        <v>29.47</v>
      </c>
      <c r="F1313">
        <v>0</v>
      </c>
      <c r="G1313">
        <v>0</v>
      </c>
      <c r="H1313">
        <v>4210</v>
      </c>
      <c r="I1313">
        <v>82</v>
      </c>
    </row>
    <row r="1314" spans="1:9" x14ac:dyDescent="0.3">
      <c r="A1314" s="1">
        <v>45992</v>
      </c>
      <c r="B1314" t="s">
        <v>127</v>
      </c>
      <c r="C1314" t="s">
        <v>36</v>
      </c>
      <c r="D1314">
        <v>0.06</v>
      </c>
      <c r="E1314">
        <v>6.09</v>
      </c>
      <c r="F1314">
        <v>0</v>
      </c>
      <c r="G1314">
        <v>0</v>
      </c>
      <c r="H1314">
        <v>1015</v>
      </c>
      <c r="I1314">
        <v>83</v>
      </c>
    </row>
    <row r="1315" spans="1:9" x14ac:dyDescent="0.3">
      <c r="A1315" s="1">
        <v>45992</v>
      </c>
      <c r="B1315" t="s">
        <v>116</v>
      </c>
      <c r="C1315" t="s">
        <v>36</v>
      </c>
      <c r="D1315">
        <v>0.06</v>
      </c>
      <c r="E1315">
        <v>17.64</v>
      </c>
      <c r="F1315">
        <v>0</v>
      </c>
      <c r="G1315">
        <v>0</v>
      </c>
      <c r="H1315">
        <v>2940</v>
      </c>
      <c r="I1315">
        <v>83</v>
      </c>
    </row>
    <row r="1316" spans="1:9" x14ac:dyDescent="0.3">
      <c r="A1316" s="1">
        <v>45992</v>
      </c>
      <c r="B1316" t="s">
        <v>91</v>
      </c>
      <c r="C1316" t="s">
        <v>36</v>
      </c>
      <c r="D1316">
        <v>0.05</v>
      </c>
      <c r="E1316">
        <v>3.7</v>
      </c>
      <c r="F1316">
        <v>0</v>
      </c>
      <c r="G1316">
        <v>0</v>
      </c>
      <c r="H1316">
        <v>740</v>
      </c>
      <c r="I1316">
        <v>85</v>
      </c>
    </row>
    <row r="1317" spans="1:9" x14ac:dyDescent="0.3">
      <c r="A1317" s="1">
        <v>45992</v>
      </c>
      <c r="B1317" t="s">
        <v>125</v>
      </c>
      <c r="C1317" t="s">
        <v>36</v>
      </c>
      <c r="D1317">
        <v>0.05</v>
      </c>
      <c r="E1317">
        <v>2.71</v>
      </c>
      <c r="F1317">
        <v>0</v>
      </c>
      <c r="G1317">
        <v>0</v>
      </c>
      <c r="H1317">
        <v>542</v>
      </c>
      <c r="I1317">
        <v>85</v>
      </c>
    </row>
    <row r="1318" spans="1:9" x14ac:dyDescent="0.3">
      <c r="A1318" s="1">
        <v>45992</v>
      </c>
      <c r="B1318" t="s">
        <v>105</v>
      </c>
      <c r="C1318" t="s">
        <v>36</v>
      </c>
      <c r="D1318">
        <v>0.05</v>
      </c>
      <c r="E1318">
        <v>14.17</v>
      </c>
      <c r="F1318">
        <v>0</v>
      </c>
      <c r="G1318">
        <v>0</v>
      </c>
      <c r="H1318">
        <v>2834</v>
      </c>
      <c r="I1318">
        <v>85</v>
      </c>
    </row>
    <row r="1319" spans="1:9" x14ac:dyDescent="0.3">
      <c r="A1319" s="1">
        <v>45992</v>
      </c>
      <c r="B1319" t="s">
        <v>110</v>
      </c>
      <c r="C1319" t="s">
        <v>36</v>
      </c>
      <c r="D1319">
        <v>0.04</v>
      </c>
      <c r="E1319">
        <v>3.88</v>
      </c>
      <c r="F1319">
        <v>0</v>
      </c>
      <c r="G1319">
        <v>0</v>
      </c>
      <c r="H1319">
        <v>970</v>
      </c>
      <c r="I1319">
        <v>88</v>
      </c>
    </row>
    <row r="1320" spans="1:9" x14ac:dyDescent="0.3">
      <c r="A1320" s="1">
        <v>45992</v>
      </c>
      <c r="B1320" t="s">
        <v>128</v>
      </c>
      <c r="C1320" t="s">
        <v>36</v>
      </c>
      <c r="D1320">
        <v>0.03</v>
      </c>
      <c r="E1320">
        <v>7.04</v>
      </c>
      <c r="F1320">
        <v>0</v>
      </c>
      <c r="G1320">
        <v>0</v>
      </c>
      <c r="H1320">
        <v>2347</v>
      </c>
      <c r="I1320">
        <v>89</v>
      </c>
    </row>
    <row r="1321" spans="1:9" x14ac:dyDescent="0.3">
      <c r="A1321" s="1">
        <v>45992</v>
      </c>
      <c r="B1321" t="s">
        <v>126</v>
      </c>
      <c r="C1321" t="s">
        <v>36</v>
      </c>
      <c r="D1321">
        <v>0.03</v>
      </c>
      <c r="E1321">
        <v>2.4300000000000002</v>
      </c>
      <c r="F1321">
        <v>0</v>
      </c>
      <c r="G1321">
        <v>0</v>
      </c>
      <c r="H1321">
        <v>810</v>
      </c>
      <c r="I1321">
        <v>89</v>
      </c>
    </row>
    <row r="1322" spans="1:9" x14ac:dyDescent="0.3">
      <c r="A1322" s="1">
        <v>45992</v>
      </c>
      <c r="B1322" t="s">
        <v>104</v>
      </c>
      <c r="C1322" t="s">
        <v>36</v>
      </c>
      <c r="D1322">
        <v>0.03</v>
      </c>
      <c r="E1322">
        <v>12.97</v>
      </c>
      <c r="F1322">
        <v>0</v>
      </c>
      <c r="G1322">
        <v>0</v>
      </c>
      <c r="H1322">
        <v>4323</v>
      </c>
      <c r="I1322">
        <v>89</v>
      </c>
    </row>
    <row r="1323" spans="1:9" x14ac:dyDescent="0.3">
      <c r="A1323" s="1">
        <v>46023</v>
      </c>
      <c r="B1323" t="s">
        <v>32</v>
      </c>
      <c r="C1323" t="s">
        <v>32</v>
      </c>
      <c r="D1323">
        <v>9913.6299999999992</v>
      </c>
      <c r="E1323">
        <v>1377458.79</v>
      </c>
      <c r="F1323">
        <v>45.68</v>
      </c>
      <c r="G1323">
        <v>48.61</v>
      </c>
      <c r="H1323">
        <v>1389</v>
      </c>
      <c r="I1323">
        <v>1</v>
      </c>
    </row>
    <row r="1324" spans="1:9" x14ac:dyDescent="0.3">
      <c r="A1324" s="1">
        <v>46023</v>
      </c>
      <c r="B1324" t="s">
        <v>33</v>
      </c>
      <c r="C1324" t="s">
        <v>33</v>
      </c>
      <c r="D1324">
        <v>7229.11</v>
      </c>
      <c r="E1324">
        <v>956985.04</v>
      </c>
      <c r="F1324">
        <v>33.31</v>
      </c>
      <c r="G1324">
        <v>33.770000000000003</v>
      </c>
      <c r="H1324">
        <v>1324</v>
      </c>
      <c r="I1324">
        <v>2</v>
      </c>
    </row>
    <row r="1325" spans="1:9" x14ac:dyDescent="0.3">
      <c r="A1325" s="1">
        <v>46023</v>
      </c>
      <c r="B1325" t="s">
        <v>34</v>
      </c>
      <c r="C1325" t="s">
        <v>34</v>
      </c>
      <c r="D1325">
        <v>1659.49</v>
      </c>
      <c r="E1325">
        <v>181973.34</v>
      </c>
      <c r="F1325">
        <v>7.65</v>
      </c>
      <c r="G1325">
        <v>6.42</v>
      </c>
      <c r="H1325">
        <v>1097</v>
      </c>
      <c r="I1325">
        <v>3</v>
      </c>
    </row>
    <row r="1326" spans="1:9" x14ac:dyDescent="0.3">
      <c r="A1326" s="1">
        <v>46023</v>
      </c>
      <c r="B1326" t="s">
        <v>37</v>
      </c>
      <c r="C1326" t="s">
        <v>36</v>
      </c>
      <c r="D1326">
        <v>709.26</v>
      </c>
      <c r="E1326">
        <v>37955.69</v>
      </c>
      <c r="F1326">
        <v>3.27</v>
      </c>
      <c r="G1326">
        <v>1.34</v>
      </c>
      <c r="H1326">
        <v>535</v>
      </c>
      <c r="I1326">
        <v>4</v>
      </c>
    </row>
    <row r="1327" spans="1:9" x14ac:dyDescent="0.3">
      <c r="A1327" s="1">
        <v>46023</v>
      </c>
      <c r="B1327" t="s">
        <v>47</v>
      </c>
      <c r="C1327" t="s">
        <v>36</v>
      </c>
      <c r="D1327">
        <v>298.41000000000003</v>
      </c>
      <c r="E1327">
        <v>12546.39</v>
      </c>
      <c r="F1327">
        <v>1.37</v>
      </c>
      <c r="G1327">
        <v>0.44</v>
      </c>
      <c r="H1327">
        <v>420</v>
      </c>
      <c r="I1327">
        <v>5</v>
      </c>
    </row>
    <row r="1328" spans="1:9" x14ac:dyDescent="0.3">
      <c r="A1328" s="1">
        <v>46023</v>
      </c>
      <c r="B1328" t="s">
        <v>46</v>
      </c>
      <c r="C1328" t="s">
        <v>36</v>
      </c>
      <c r="D1328">
        <v>172.07</v>
      </c>
      <c r="E1328">
        <v>22025.89</v>
      </c>
      <c r="F1328">
        <v>0.79</v>
      </c>
      <c r="G1328">
        <v>0.78</v>
      </c>
      <c r="H1328">
        <v>1280</v>
      </c>
      <c r="I1328">
        <v>6</v>
      </c>
    </row>
    <row r="1329" spans="1:9" x14ac:dyDescent="0.3">
      <c r="A1329" s="1">
        <v>46023</v>
      </c>
      <c r="B1329" t="s">
        <v>40</v>
      </c>
      <c r="C1329" t="s">
        <v>36</v>
      </c>
      <c r="D1329">
        <v>161.18</v>
      </c>
      <c r="E1329">
        <v>2038.12</v>
      </c>
      <c r="F1329">
        <v>0.74</v>
      </c>
      <c r="G1329">
        <v>7.0000000000000007E-2</v>
      </c>
      <c r="H1329">
        <v>126</v>
      </c>
      <c r="I1329">
        <v>7</v>
      </c>
    </row>
    <row r="1330" spans="1:9" x14ac:dyDescent="0.3">
      <c r="A1330" s="1">
        <v>46023</v>
      </c>
      <c r="B1330" t="s">
        <v>35</v>
      </c>
      <c r="C1330" t="s">
        <v>36</v>
      </c>
      <c r="D1330">
        <v>156.86000000000001</v>
      </c>
      <c r="E1330">
        <v>58840.62</v>
      </c>
      <c r="F1330">
        <v>0.72</v>
      </c>
      <c r="G1330">
        <v>2.08</v>
      </c>
      <c r="H1330">
        <v>3751</v>
      </c>
      <c r="I1330">
        <v>8</v>
      </c>
    </row>
    <row r="1331" spans="1:9" x14ac:dyDescent="0.3">
      <c r="A1331" s="1">
        <v>46023</v>
      </c>
      <c r="B1331" t="s">
        <v>38</v>
      </c>
      <c r="C1331" t="s">
        <v>36</v>
      </c>
      <c r="D1331">
        <v>152.6</v>
      </c>
      <c r="E1331">
        <v>13206.89</v>
      </c>
      <c r="F1331">
        <v>0.7</v>
      </c>
      <c r="G1331">
        <v>0.47</v>
      </c>
      <c r="H1331">
        <v>865</v>
      </c>
      <c r="I1331">
        <v>9</v>
      </c>
    </row>
    <row r="1332" spans="1:9" x14ac:dyDescent="0.3">
      <c r="A1332" s="1">
        <v>46023</v>
      </c>
      <c r="B1332" t="s">
        <v>42</v>
      </c>
      <c r="C1332" t="s">
        <v>36</v>
      </c>
      <c r="D1332">
        <v>112.65</v>
      </c>
      <c r="E1332">
        <v>8358.2099999999991</v>
      </c>
      <c r="F1332">
        <v>0.52</v>
      </c>
      <c r="G1332">
        <v>0.28999999999999998</v>
      </c>
      <c r="H1332">
        <v>742</v>
      </c>
      <c r="I1332">
        <v>10</v>
      </c>
    </row>
    <row r="1333" spans="1:9" x14ac:dyDescent="0.3">
      <c r="A1333" s="1">
        <v>46023</v>
      </c>
      <c r="B1333" t="s">
        <v>43</v>
      </c>
      <c r="C1333" t="s">
        <v>36</v>
      </c>
      <c r="D1333">
        <v>101.35</v>
      </c>
      <c r="E1333">
        <v>12304.69</v>
      </c>
      <c r="F1333">
        <v>0.47</v>
      </c>
      <c r="G1333">
        <v>0.43</v>
      </c>
      <c r="H1333">
        <v>1214</v>
      </c>
      <c r="I1333">
        <v>11</v>
      </c>
    </row>
    <row r="1334" spans="1:9" x14ac:dyDescent="0.3">
      <c r="A1334" s="1">
        <v>46023</v>
      </c>
      <c r="B1334" t="s">
        <v>39</v>
      </c>
      <c r="C1334" t="s">
        <v>36</v>
      </c>
      <c r="D1334">
        <v>83.99</v>
      </c>
      <c r="E1334">
        <v>10257.83</v>
      </c>
      <c r="F1334">
        <v>0.39</v>
      </c>
      <c r="G1334">
        <v>0.36</v>
      </c>
      <c r="H1334">
        <v>1221</v>
      </c>
      <c r="I1334">
        <v>12</v>
      </c>
    </row>
    <row r="1335" spans="1:9" x14ac:dyDescent="0.3">
      <c r="A1335" s="1">
        <v>46023</v>
      </c>
      <c r="B1335" t="s">
        <v>44</v>
      </c>
      <c r="C1335" t="s">
        <v>36</v>
      </c>
      <c r="D1335">
        <v>77.290000000000006</v>
      </c>
      <c r="E1335">
        <v>16665.03</v>
      </c>
      <c r="F1335">
        <v>0.36</v>
      </c>
      <c r="G1335">
        <v>0.59</v>
      </c>
      <c r="H1335">
        <v>2156</v>
      </c>
      <c r="I1335">
        <v>13</v>
      </c>
    </row>
    <row r="1336" spans="1:9" x14ac:dyDescent="0.3">
      <c r="A1336" s="1">
        <v>46023</v>
      </c>
      <c r="B1336" t="s">
        <v>41</v>
      </c>
      <c r="C1336" t="s">
        <v>36</v>
      </c>
      <c r="D1336">
        <v>67.97</v>
      </c>
      <c r="E1336">
        <v>19319.18</v>
      </c>
      <c r="F1336">
        <v>0.31</v>
      </c>
      <c r="G1336">
        <v>0.68</v>
      </c>
      <c r="H1336">
        <v>2842</v>
      </c>
      <c r="I1336">
        <v>14</v>
      </c>
    </row>
    <row r="1337" spans="1:9" x14ac:dyDescent="0.3">
      <c r="A1337" s="1">
        <v>46023</v>
      </c>
      <c r="B1337" t="s">
        <v>49</v>
      </c>
      <c r="C1337" t="s">
        <v>36</v>
      </c>
      <c r="D1337">
        <v>64.72</v>
      </c>
      <c r="E1337">
        <v>7631.14</v>
      </c>
      <c r="F1337">
        <v>0.3</v>
      </c>
      <c r="G1337">
        <v>0.27</v>
      </c>
      <c r="H1337">
        <v>1179</v>
      </c>
      <c r="I1337">
        <v>15</v>
      </c>
    </row>
    <row r="1338" spans="1:9" x14ac:dyDescent="0.3">
      <c r="A1338" s="1">
        <v>46023</v>
      </c>
      <c r="B1338" t="s">
        <v>45</v>
      </c>
      <c r="C1338" t="s">
        <v>36</v>
      </c>
      <c r="D1338">
        <v>52.98</v>
      </c>
      <c r="E1338">
        <v>7850.57</v>
      </c>
      <c r="F1338">
        <v>0.24</v>
      </c>
      <c r="G1338">
        <v>0.28000000000000003</v>
      </c>
      <c r="H1338">
        <v>1482</v>
      </c>
      <c r="I1338">
        <v>16</v>
      </c>
    </row>
    <row r="1339" spans="1:9" x14ac:dyDescent="0.3">
      <c r="A1339" s="1">
        <v>46023</v>
      </c>
      <c r="B1339" t="s">
        <v>53</v>
      </c>
      <c r="C1339" t="s">
        <v>36</v>
      </c>
      <c r="D1339">
        <v>39.57</v>
      </c>
      <c r="E1339">
        <v>4057.84</v>
      </c>
      <c r="F1339">
        <v>0.18</v>
      </c>
      <c r="G1339">
        <v>0.14000000000000001</v>
      </c>
      <c r="H1339">
        <v>1025</v>
      </c>
      <c r="I1339">
        <v>17</v>
      </c>
    </row>
    <row r="1340" spans="1:9" x14ac:dyDescent="0.3">
      <c r="A1340" s="1">
        <v>46023</v>
      </c>
      <c r="B1340" t="s">
        <v>50</v>
      </c>
      <c r="C1340" t="s">
        <v>36</v>
      </c>
      <c r="D1340">
        <v>18.82</v>
      </c>
      <c r="E1340">
        <v>16201.06</v>
      </c>
      <c r="F1340">
        <v>0.09</v>
      </c>
      <c r="G1340">
        <v>0.56999999999999995</v>
      </c>
      <c r="H1340">
        <v>8608</v>
      </c>
      <c r="I1340">
        <v>18</v>
      </c>
    </row>
    <row r="1341" spans="1:9" x14ac:dyDescent="0.3">
      <c r="A1341" s="1">
        <v>46023</v>
      </c>
      <c r="B1341" t="s">
        <v>57</v>
      </c>
      <c r="C1341" t="s">
        <v>36</v>
      </c>
      <c r="D1341">
        <v>18.75</v>
      </c>
      <c r="E1341">
        <v>1999.28</v>
      </c>
      <c r="F1341">
        <v>0.09</v>
      </c>
      <c r="G1341">
        <v>7.0000000000000007E-2</v>
      </c>
      <c r="H1341">
        <v>1066</v>
      </c>
      <c r="I1341">
        <v>19</v>
      </c>
    </row>
    <row r="1342" spans="1:9" x14ac:dyDescent="0.3">
      <c r="A1342" s="1">
        <v>46023</v>
      </c>
      <c r="B1342" t="s">
        <v>55</v>
      </c>
      <c r="C1342" t="s">
        <v>36</v>
      </c>
      <c r="D1342">
        <v>17.75</v>
      </c>
      <c r="E1342">
        <v>3315.6</v>
      </c>
      <c r="F1342">
        <v>0.08</v>
      </c>
      <c r="G1342">
        <v>0.12</v>
      </c>
      <c r="H1342">
        <v>1868</v>
      </c>
      <c r="I1342">
        <v>20</v>
      </c>
    </row>
    <row r="1343" spans="1:9" x14ac:dyDescent="0.3">
      <c r="A1343" s="1">
        <v>46023</v>
      </c>
      <c r="B1343" t="s">
        <v>48</v>
      </c>
      <c r="C1343" t="s">
        <v>36</v>
      </c>
      <c r="D1343">
        <v>17.149999999999999</v>
      </c>
      <c r="E1343">
        <v>1376.98</v>
      </c>
      <c r="F1343">
        <v>0.08</v>
      </c>
      <c r="G1343">
        <v>0.05</v>
      </c>
      <c r="H1343">
        <v>803</v>
      </c>
      <c r="I1343">
        <v>21</v>
      </c>
    </row>
    <row r="1344" spans="1:9" x14ac:dyDescent="0.3">
      <c r="A1344" s="1">
        <v>46023</v>
      </c>
      <c r="B1344" t="s">
        <v>54</v>
      </c>
      <c r="C1344" t="s">
        <v>36</v>
      </c>
      <c r="D1344">
        <v>15.6</v>
      </c>
      <c r="E1344">
        <v>4579.21</v>
      </c>
      <c r="F1344">
        <v>7.0000000000000007E-2</v>
      </c>
      <c r="G1344">
        <v>0.16</v>
      </c>
      <c r="H1344">
        <v>2935</v>
      </c>
      <c r="I1344">
        <v>22</v>
      </c>
    </row>
    <row r="1345" spans="1:9" x14ac:dyDescent="0.3">
      <c r="A1345" s="1">
        <v>46023</v>
      </c>
      <c r="B1345" t="s">
        <v>52</v>
      </c>
      <c r="C1345" t="s">
        <v>36</v>
      </c>
      <c r="D1345">
        <v>13.38</v>
      </c>
      <c r="E1345">
        <v>2757.27</v>
      </c>
      <c r="F1345">
        <v>0.06</v>
      </c>
      <c r="G1345">
        <v>0.1</v>
      </c>
      <c r="H1345">
        <v>2061</v>
      </c>
      <c r="I1345">
        <v>23</v>
      </c>
    </row>
    <row r="1346" spans="1:9" x14ac:dyDescent="0.3">
      <c r="A1346" s="1">
        <v>46023</v>
      </c>
      <c r="B1346" t="s">
        <v>56</v>
      </c>
      <c r="C1346" t="s">
        <v>36</v>
      </c>
      <c r="D1346">
        <v>11.21</v>
      </c>
      <c r="E1346">
        <v>752.03</v>
      </c>
      <c r="F1346">
        <v>0.05</v>
      </c>
      <c r="G1346">
        <v>0.03</v>
      </c>
      <c r="H1346">
        <v>671</v>
      </c>
      <c r="I1346">
        <v>24</v>
      </c>
    </row>
    <row r="1347" spans="1:9" x14ac:dyDescent="0.3">
      <c r="A1347" s="1">
        <v>46023</v>
      </c>
      <c r="B1347" t="s">
        <v>65</v>
      </c>
      <c r="C1347" t="s">
        <v>36</v>
      </c>
      <c r="D1347">
        <v>8.5</v>
      </c>
      <c r="E1347">
        <v>686.09</v>
      </c>
      <c r="F1347">
        <v>0.04</v>
      </c>
      <c r="G1347">
        <v>0.02</v>
      </c>
      <c r="H1347">
        <v>807</v>
      </c>
      <c r="I1347">
        <v>25</v>
      </c>
    </row>
    <row r="1348" spans="1:9" x14ac:dyDescent="0.3">
      <c r="A1348" s="1">
        <v>46023</v>
      </c>
      <c r="B1348" t="s">
        <v>67</v>
      </c>
      <c r="C1348" t="s">
        <v>36</v>
      </c>
      <c r="D1348">
        <v>8.2899999999999991</v>
      </c>
      <c r="E1348">
        <v>4365.6099999999997</v>
      </c>
      <c r="F1348">
        <v>0.04</v>
      </c>
      <c r="G1348">
        <v>0.15</v>
      </c>
      <c r="H1348">
        <v>5266</v>
      </c>
      <c r="I1348">
        <v>26</v>
      </c>
    </row>
    <row r="1349" spans="1:9" x14ac:dyDescent="0.3">
      <c r="A1349" s="1">
        <v>46023</v>
      </c>
      <c r="B1349" t="s">
        <v>58</v>
      </c>
      <c r="C1349" t="s">
        <v>36</v>
      </c>
      <c r="D1349">
        <v>7.52</v>
      </c>
      <c r="E1349">
        <v>2016.33</v>
      </c>
      <c r="F1349">
        <v>0.03</v>
      </c>
      <c r="G1349">
        <v>7.0000000000000007E-2</v>
      </c>
      <c r="H1349">
        <v>2681</v>
      </c>
      <c r="I1349">
        <v>27</v>
      </c>
    </row>
    <row r="1350" spans="1:9" x14ac:dyDescent="0.3">
      <c r="A1350" s="1">
        <v>46023</v>
      </c>
      <c r="B1350" t="s">
        <v>62</v>
      </c>
      <c r="C1350" t="s">
        <v>36</v>
      </c>
      <c r="D1350">
        <v>6.57</v>
      </c>
      <c r="E1350">
        <v>456.14</v>
      </c>
      <c r="F1350">
        <v>0.03</v>
      </c>
      <c r="G1350">
        <v>0.02</v>
      </c>
      <c r="H1350">
        <v>694</v>
      </c>
      <c r="I1350">
        <v>28</v>
      </c>
    </row>
    <row r="1351" spans="1:9" x14ac:dyDescent="0.3">
      <c r="A1351" s="1">
        <v>46023</v>
      </c>
      <c r="B1351" t="s">
        <v>59</v>
      </c>
      <c r="C1351" t="s">
        <v>36</v>
      </c>
      <c r="D1351">
        <v>5.93</v>
      </c>
      <c r="E1351">
        <v>982.03</v>
      </c>
      <c r="F1351">
        <v>0.03</v>
      </c>
      <c r="G1351">
        <v>0.03</v>
      </c>
      <c r="H1351">
        <v>1656</v>
      </c>
      <c r="I1351">
        <v>29</v>
      </c>
    </row>
    <row r="1352" spans="1:9" x14ac:dyDescent="0.3">
      <c r="A1352" s="1">
        <v>46023</v>
      </c>
      <c r="B1352" t="s">
        <v>60</v>
      </c>
      <c r="C1352" t="s">
        <v>36</v>
      </c>
      <c r="D1352">
        <v>5.29</v>
      </c>
      <c r="E1352">
        <v>853.4</v>
      </c>
      <c r="F1352">
        <v>0.02</v>
      </c>
      <c r="G1352">
        <v>0.03</v>
      </c>
      <c r="H1352">
        <v>1613</v>
      </c>
      <c r="I1352">
        <v>30</v>
      </c>
    </row>
    <row r="1353" spans="1:9" x14ac:dyDescent="0.3">
      <c r="A1353" s="1">
        <v>46023</v>
      </c>
      <c r="B1353" t="s">
        <v>61</v>
      </c>
      <c r="C1353" t="s">
        <v>36</v>
      </c>
      <c r="D1353">
        <v>4.1399999999999997</v>
      </c>
      <c r="E1353">
        <v>1110.6500000000001</v>
      </c>
      <c r="F1353">
        <v>0.02</v>
      </c>
      <c r="G1353">
        <v>0.04</v>
      </c>
      <c r="H1353">
        <v>2683</v>
      </c>
      <c r="I1353">
        <v>31</v>
      </c>
    </row>
    <row r="1354" spans="1:9" x14ac:dyDescent="0.3">
      <c r="A1354" s="1">
        <v>46023</v>
      </c>
      <c r="B1354" t="s">
        <v>115</v>
      </c>
      <c r="C1354" t="s">
        <v>36</v>
      </c>
      <c r="D1354">
        <v>4.01</v>
      </c>
      <c r="E1354">
        <v>1336.23</v>
      </c>
      <c r="F1354">
        <v>0.02</v>
      </c>
      <c r="G1354">
        <v>0.05</v>
      </c>
      <c r="H1354">
        <v>3332</v>
      </c>
      <c r="I1354">
        <v>32</v>
      </c>
    </row>
    <row r="1355" spans="1:9" x14ac:dyDescent="0.3">
      <c r="A1355" s="1">
        <v>46023</v>
      </c>
      <c r="B1355" t="s">
        <v>51</v>
      </c>
      <c r="C1355" t="s">
        <v>36</v>
      </c>
      <c r="D1355">
        <v>3.09</v>
      </c>
      <c r="E1355">
        <v>163.55000000000001</v>
      </c>
      <c r="F1355">
        <v>0.01</v>
      </c>
      <c r="G1355">
        <v>0.01</v>
      </c>
      <c r="H1355">
        <v>529</v>
      </c>
      <c r="I1355">
        <v>33</v>
      </c>
    </row>
    <row r="1356" spans="1:9" x14ac:dyDescent="0.3">
      <c r="A1356" s="1">
        <v>46023</v>
      </c>
      <c r="B1356" t="s">
        <v>82</v>
      </c>
      <c r="C1356" t="s">
        <v>36</v>
      </c>
      <c r="D1356">
        <v>3.04</v>
      </c>
      <c r="E1356">
        <v>474.14</v>
      </c>
      <c r="F1356">
        <v>0.01</v>
      </c>
      <c r="G1356">
        <v>0.02</v>
      </c>
      <c r="H1356">
        <v>1560</v>
      </c>
      <c r="I1356">
        <v>34</v>
      </c>
    </row>
    <row r="1357" spans="1:9" x14ac:dyDescent="0.3">
      <c r="A1357" s="1">
        <v>46023</v>
      </c>
      <c r="B1357" t="s">
        <v>83</v>
      </c>
      <c r="C1357" t="s">
        <v>36</v>
      </c>
      <c r="D1357">
        <v>3</v>
      </c>
      <c r="E1357">
        <v>6.05</v>
      </c>
      <c r="F1357">
        <v>0.01</v>
      </c>
      <c r="G1357">
        <v>0</v>
      </c>
      <c r="H1357">
        <v>20</v>
      </c>
      <c r="I1357">
        <v>35</v>
      </c>
    </row>
    <row r="1358" spans="1:9" x14ac:dyDescent="0.3">
      <c r="A1358" s="1">
        <v>46023</v>
      </c>
      <c r="B1358" t="s">
        <v>94</v>
      </c>
      <c r="C1358" t="s">
        <v>36</v>
      </c>
      <c r="D1358">
        <v>2.94</v>
      </c>
      <c r="E1358">
        <v>383.15</v>
      </c>
      <c r="F1358">
        <v>0.01</v>
      </c>
      <c r="G1358">
        <v>0.01</v>
      </c>
      <c r="H1358">
        <v>1303</v>
      </c>
      <c r="I1358">
        <v>36</v>
      </c>
    </row>
    <row r="1359" spans="1:9" x14ac:dyDescent="0.3">
      <c r="A1359" s="1">
        <v>46023</v>
      </c>
      <c r="B1359" t="s">
        <v>112</v>
      </c>
      <c r="C1359" t="s">
        <v>36</v>
      </c>
      <c r="D1359">
        <v>2.61</v>
      </c>
      <c r="E1359">
        <v>143.19</v>
      </c>
      <c r="F1359">
        <v>0.01</v>
      </c>
      <c r="G1359">
        <v>0.01</v>
      </c>
      <c r="H1359">
        <v>549</v>
      </c>
      <c r="I1359">
        <v>37</v>
      </c>
    </row>
    <row r="1360" spans="1:9" x14ac:dyDescent="0.3">
      <c r="A1360" s="1">
        <v>46023</v>
      </c>
      <c r="B1360" t="s">
        <v>108</v>
      </c>
      <c r="C1360" t="s">
        <v>36</v>
      </c>
      <c r="D1360">
        <v>2.5</v>
      </c>
      <c r="E1360">
        <v>373.44</v>
      </c>
      <c r="F1360">
        <v>0.01</v>
      </c>
      <c r="G1360">
        <v>0.01</v>
      </c>
      <c r="H1360">
        <v>1494</v>
      </c>
      <c r="I1360">
        <v>38</v>
      </c>
    </row>
    <row r="1361" spans="1:9" x14ac:dyDescent="0.3">
      <c r="A1361" s="1">
        <v>46023</v>
      </c>
      <c r="B1361" t="s">
        <v>98</v>
      </c>
      <c r="C1361" t="s">
        <v>36</v>
      </c>
      <c r="D1361">
        <v>2.48</v>
      </c>
      <c r="E1361">
        <v>218.56</v>
      </c>
      <c r="F1361">
        <v>0.01</v>
      </c>
      <c r="G1361">
        <v>0.01</v>
      </c>
      <c r="H1361">
        <v>881</v>
      </c>
      <c r="I1361">
        <v>39</v>
      </c>
    </row>
    <row r="1362" spans="1:9" x14ac:dyDescent="0.3">
      <c r="A1362" s="1">
        <v>46023</v>
      </c>
      <c r="B1362" t="s">
        <v>71</v>
      </c>
      <c r="C1362" t="s">
        <v>36</v>
      </c>
      <c r="D1362">
        <v>2.46</v>
      </c>
      <c r="E1362">
        <v>371.79</v>
      </c>
      <c r="F1362">
        <v>0.01</v>
      </c>
      <c r="G1362">
        <v>0.01</v>
      </c>
      <c r="H1362">
        <v>1511</v>
      </c>
      <c r="I1362">
        <v>40</v>
      </c>
    </row>
    <row r="1363" spans="1:9" x14ac:dyDescent="0.3">
      <c r="A1363" s="1">
        <v>46023</v>
      </c>
      <c r="B1363" t="s">
        <v>122</v>
      </c>
      <c r="C1363" t="s">
        <v>36</v>
      </c>
      <c r="D1363">
        <v>2.21</v>
      </c>
      <c r="E1363">
        <v>120.02</v>
      </c>
      <c r="F1363">
        <v>0.01</v>
      </c>
      <c r="G1363">
        <v>0</v>
      </c>
      <c r="H1363">
        <v>543</v>
      </c>
      <c r="I1363">
        <v>41</v>
      </c>
    </row>
    <row r="1364" spans="1:9" x14ac:dyDescent="0.3">
      <c r="A1364" s="1">
        <v>46023</v>
      </c>
      <c r="B1364" t="s">
        <v>81</v>
      </c>
      <c r="C1364" t="s">
        <v>36</v>
      </c>
      <c r="D1364">
        <v>1.98</v>
      </c>
      <c r="E1364">
        <v>148.12</v>
      </c>
      <c r="F1364">
        <v>0.01</v>
      </c>
      <c r="G1364">
        <v>0.01</v>
      </c>
      <c r="H1364">
        <v>748</v>
      </c>
      <c r="I1364">
        <v>42</v>
      </c>
    </row>
    <row r="1365" spans="1:9" x14ac:dyDescent="0.3">
      <c r="A1365" s="1">
        <v>46023</v>
      </c>
      <c r="B1365" t="s">
        <v>68</v>
      </c>
      <c r="C1365" t="s">
        <v>36</v>
      </c>
      <c r="D1365">
        <v>1.94</v>
      </c>
      <c r="E1365">
        <v>121.46</v>
      </c>
      <c r="F1365">
        <v>0.01</v>
      </c>
      <c r="G1365">
        <v>0</v>
      </c>
      <c r="H1365">
        <v>626</v>
      </c>
      <c r="I1365">
        <v>43</v>
      </c>
    </row>
    <row r="1366" spans="1:9" x14ac:dyDescent="0.3">
      <c r="A1366" s="1">
        <v>46023</v>
      </c>
      <c r="B1366" t="s">
        <v>63</v>
      </c>
      <c r="C1366" t="s">
        <v>36</v>
      </c>
      <c r="D1366">
        <v>1.85</v>
      </c>
      <c r="E1366">
        <v>479.04</v>
      </c>
      <c r="F1366">
        <v>0.01</v>
      </c>
      <c r="G1366">
        <v>0.02</v>
      </c>
      <c r="H1366">
        <v>2589</v>
      </c>
      <c r="I1366">
        <v>44</v>
      </c>
    </row>
    <row r="1367" spans="1:9" x14ac:dyDescent="0.3">
      <c r="A1367" s="1">
        <v>46023</v>
      </c>
      <c r="B1367" t="s">
        <v>72</v>
      </c>
      <c r="C1367" t="s">
        <v>36</v>
      </c>
      <c r="D1367">
        <v>1.58</v>
      </c>
      <c r="E1367">
        <v>26.15</v>
      </c>
      <c r="F1367">
        <v>0.01</v>
      </c>
      <c r="G1367">
        <v>0</v>
      </c>
      <c r="H1367">
        <v>166</v>
      </c>
      <c r="I1367">
        <v>45</v>
      </c>
    </row>
    <row r="1368" spans="1:9" x14ac:dyDescent="0.3">
      <c r="A1368" s="1">
        <v>46023</v>
      </c>
      <c r="B1368" t="s">
        <v>69</v>
      </c>
      <c r="C1368" t="s">
        <v>36</v>
      </c>
      <c r="D1368">
        <v>1.57</v>
      </c>
      <c r="E1368">
        <v>438.51</v>
      </c>
      <c r="F1368">
        <v>0.01</v>
      </c>
      <c r="G1368">
        <v>0.02</v>
      </c>
      <c r="H1368">
        <v>2793</v>
      </c>
      <c r="I1368">
        <v>46</v>
      </c>
    </row>
    <row r="1369" spans="1:9" x14ac:dyDescent="0.3">
      <c r="A1369" s="1">
        <v>46023</v>
      </c>
      <c r="B1369" t="s">
        <v>66</v>
      </c>
      <c r="C1369" t="s">
        <v>36</v>
      </c>
      <c r="D1369">
        <v>1.51</v>
      </c>
      <c r="E1369">
        <v>27.49</v>
      </c>
      <c r="F1369">
        <v>0.01</v>
      </c>
      <c r="G1369">
        <v>0</v>
      </c>
      <c r="H1369">
        <v>182</v>
      </c>
      <c r="I1369">
        <v>47</v>
      </c>
    </row>
    <row r="1370" spans="1:9" x14ac:dyDescent="0.3">
      <c r="A1370" s="1">
        <v>46023</v>
      </c>
      <c r="B1370" t="s">
        <v>64</v>
      </c>
      <c r="C1370" t="s">
        <v>36</v>
      </c>
      <c r="D1370">
        <v>1.49</v>
      </c>
      <c r="E1370">
        <v>449.01</v>
      </c>
      <c r="F1370">
        <v>0.01</v>
      </c>
      <c r="G1370">
        <v>0.02</v>
      </c>
      <c r="H1370">
        <v>3013</v>
      </c>
      <c r="I1370">
        <v>48</v>
      </c>
    </row>
    <row r="1371" spans="1:9" x14ac:dyDescent="0.3">
      <c r="A1371" s="1">
        <v>46023</v>
      </c>
      <c r="B1371" t="s">
        <v>80</v>
      </c>
      <c r="C1371" t="s">
        <v>36</v>
      </c>
      <c r="D1371">
        <v>1.37</v>
      </c>
      <c r="E1371">
        <v>233.81</v>
      </c>
      <c r="F1371">
        <v>0.01</v>
      </c>
      <c r="G1371">
        <v>0.01</v>
      </c>
      <c r="H1371">
        <v>1707</v>
      </c>
      <c r="I1371">
        <v>49</v>
      </c>
    </row>
    <row r="1372" spans="1:9" x14ac:dyDescent="0.3">
      <c r="A1372" s="1">
        <v>46023</v>
      </c>
      <c r="B1372" t="s">
        <v>79</v>
      </c>
      <c r="C1372" t="s">
        <v>36</v>
      </c>
      <c r="D1372">
        <v>1.35</v>
      </c>
      <c r="E1372">
        <v>465.91</v>
      </c>
      <c r="F1372">
        <v>0.01</v>
      </c>
      <c r="G1372">
        <v>0.02</v>
      </c>
      <c r="H1372">
        <v>3451</v>
      </c>
      <c r="I1372">
        <v>50</v>
      </c>
    </row>
    <row r="1373" spans="1:9" x14ac:dyDescent="0.3">
      <c r="A1373" s="1">
        <v>46023</v>
      </c>
      <c r="B1373" t="s">
        <v>76</v>
      </c>
      <c r="C1373" t="s">
        <v>36</v>
      </c>
      <c r="D1373">
        <v>1.26</v>
      </c>
      <c r="E1373">
        <v>154.21</v>
      </c>
      <c r="F1373">
        <v>0.01</v>
      </c>
      <c r="G1373">
        <v>0.01</v>
      </c>
      <c r="H1373">
        <v>1224</v>
      </c>
      <c r="I1373">
        <v>51</v>
      </c>
    </row>
    <row r="1374" spans="1:9" x14ac:dyDescent="0.3">
      <c r="A1374" s="1">
        <v>46023</v>
      </c>
      <c r="B1374" t="s">
        <v>73</v>
      </c>
      <c r="C1374" t="s">
        <v>36</v>
      </c>
      <c r="D1374">
        <v>0.99</v>
      </c>
      <c r="E1374">
        <v>286.52</v>
      </c>
      <c r="F1374">
        <v>0</v>
      </c>
      <c r="G1374">
        <v>0.01</v>
      </c>
      <c r="H1374">
        <v>2894</v>
      </c>
      <c r="I1374">
        <v>52</v>
      </c>
    </row>
    <row r="1375" spans="1:9" x14ac:dyDescent="0.3">
      <c r="A1375" s="1">
        <v>46023</v>
      </c>
      <c r="B1375" t="s">
        <v>74</v>
      </c>
      <c r="C1375" t="s">
        <v>36</v>
      </c>
      <c r="D1375">
        <v>0.92</v>
      </c>
      <c r="E1375">
        <v>289.61</v>
      </c>
      <c r="F1375">
        <v>0</v>
      </c>
      <c r="G1375">
        <v>0.01</v>
      </c>
      <c r="H1375">
        <v>3148</v>
      </c>
      <c r="I1375">
        <v>53</v>
      </c>
    </row>
    <row r="1376" spans="1:9" x14ac:dyDescent="0.3">
      <c r="A1376" s="1">
        <v>46023</v>
      </c>
      <c r="B1376" t="s">
        <v>109</v>
      </c>
      <c r="C1376" t="s">
        <v>36</v>
      </c>
      <c r="D1376">
        <v>0.9</v>
      </c>
      <c r="E1376">
        <v>102.33</v>
      </c>
      <c r="F1376">
        <v>0</v>
      </c>
      <c r="G1376">
        <v>0</v>
      </c>
      <c r="H1376">
        <v>1137</v>
      </c>
      <c r="I1376">
        <v>54</v>
      </c>
    </row>
    <row r="1377" spans="1:9" x14ac:dyDescent="0.3">
      <c r="A1377" s="1">
        <v>46023</v>
      </c>
      <c r="B1377" t="s">
        <v>78</v>
      </c>
      <c r="C1377" t="s">
        <v>36</v>
      </c>
      <c r="D1377">
        <v>0.86</v>
      </c>
      <c r="E1377">
        <v>282.32</v>
      </c>
      <c r="F1377">
        <v>0</v>
      </c>
      <c r="G1377">
        <v>0.01</v>
      </c>
      <c r="H1377">
        <v>3283</v>
      </c>
      <c r="I1377">
        <v>55</v>
      </c>
    </row>
    <row r="1378" spans="1:9" x14ac:dyDescent="0.3">
      <c r="A1378" s="1">
        <v>46023</v>
      </c>
      <c r="B1378" t="s">
        <v>114</v>
      </c>
      <c r="C1378" t="s">
        <v>36</v>
      </c>
      <c r="D1378">
        <v>0.66</v>
      </c>
      <c r="E1378">
        <v>60.31</v>
      </c>
      <c r="F1378">
        <v>0</v>
      </c>
      <c r="G1378">
        <v>0</v>
      </c>
      <c r="H1378">
        <v>914</v>
      </c>
      <c r="I1378">
        <v>56</v>
      </c>
    </row>
    <row r="1379" spans="1:9" x14ac:dyDescent="0.3">
      <c r="A1379" s="1">
        <v>46023</v>
      </c>
      <c r="B1379" t="s">
        <v>84</v>
      </c>
      <c r="C1379" t="s">
        <v>36</v>
      </c>
      <c r="D1379">
        <v>0.61</v>
      </c>
      <c r="E1379">
        <v>170.83</v>
      </c>
      <c r="F1379">
        <v>0</v>
      </c>
      <c r="G1379">
        <v>0.01</v>
      </c>
      <c r="H1379">
        <v>2800</v>
      </c>
      <c r="I1379">
        <v>57</v>
      </c>
    </row>
    <row r="1380" spans="1:9" x14ac:dyDescent="0.3">
      <c r="A1380" s="1">
        <v>46023</v>
      </c>
      <c r="B1380" t="s">
        <v>100</v>
      </c>
      <c r="C1380" t="s">
        <v>36</v>
      </c>
      <c r="D1380">
        <v>0.61</v>
      </c>
      <c r="E1380">
        <v>734.23</v>
      </c>
      <c r="F1380">
        <v>0</v>
      </c>
      <c r="G1380">
        <v>0.03</v>
      </c>
      <c r="H1380">
        <v>12037</v>
      </c>
      <c r="I1380">
        <v>57</v>
      </c>
    </row>
    <row r="1381" spans="1:9" x14ac:dyDescent="0.3">
      <c r="A1381" s="1">
        <v>46023</v>
      </c>
      <c r="B1381" t="s">
        <v>75</v>
      </c>
      <c r="C1381" t="s">
        <v>36</v>
      </c>
      <c r="D1381">
        <v>0.6</v>
      </c>
      <c r="E1381">
        <v>232.75</v>
      </c>
      <c r="F1381">
        <v>0</v>
      </c>
      <c r="G1381">
        <v>0.01</v>
      </c>
      <c r="H1381">
        <v>3879</v>
      </c>
      <c r="I1381">
        <v>59</v>
      </c>
    </row>
    <row r="1382" spans="1:9" x14ac:dyDescent="0.3">
      <c r="A1382" s="1">
        <v>46023</v>
      </c>
      <c r="B1382" t="s">
        <v>121</v>
      </c>
      <c r="C1382" t="s">
        <v>36</v>
      </c>
      <c r="D1382">
        <v>0.53</v>
      </c>
      <c r="E1382">
        <v>15.68</v>
      </c>
      <c r="F1382">
        <v>0</v>
      </c>
      <c r="G1382">
        <v>0</v>
      </c>
      <c r="H1382">
        <v>296</v>
      </c>
      <c r="I1382">
        <v>60</v>
      </c>
    </row>
    <row r="1383" spans="1:9" x14ac:dyDescent="0.3">
      <c r="A1383" s="1">
        <v>46023</v>
      </c>
      <c r="B1383" t="s">
        <v>97</v>
      </c>
      <c r="C1383" t="s">
        <v>36</v>
      </c>
      <c r="D1383">
        <v>0.5</v>
      </c>
      <c r="E1383">
        <v>40.909999999999997</v>
      </c>
      <c r="F1383">
        <v>0</v>
      </c>
      <c r="G1383">
        <v>0</v>
      </c>
      <c r="H1383">
        <v>818</v>
      </c>
      <c r="I1383">
        <v>61</v>
      </c>
    </row>
    <row r="1384" spans="1:9" x14ac:dyDescent="0.3">
      <c r="A1384" s="1">
        <v>46023</v>
      </c>
      <c r="B1384" t="s">
        <v>70</v>
      </c>
      <c r="C1384" t="s">
        <v>36</v>
      </c>
      <c r="D1384">
        <v>0.48</v>
      </c>
      <c r="E1384">
        <v>165.59</v>
      </c>
      <c r="F1384">
        <v>0</v>
      </c>
      <c r="G1384">
        <v>0.01</v>
      </c>
      <c r="H1384">
        <v>3450</v>
      </c>
      <c r="I1384">
        <v>62</v>
      </c>
    </row>
    <row r="1385" spans="1:9" x14ac:dyDescent="0.3">
      <c r="A1385" s="1">
        <v>46023</v>
      </c>
      <c r="B1385" t="s">
        <v>77</v>
      </c>
      <c r="C1385" t="s">
        <v>36</v>
      </c>
      <c r="D1385">
        <v>0.46</v>
      </c>
      <c r="E1385">
        <v>46.59</v>
      </c>
      <c r="F1385">
        <v>0</v>
      </c>
      <c r="G1385">
        <v>0</v>
      </c>
      <c r="H1385">
        <v>1013</v>
      </c>
      <c r="I1385">
        <v>63</v>
      </c>
    </row>
    <row r="1386" spans="1:9" x14ac:dyDescent="0.3">
      <c r="A1386" s="1">
        <v>46023</v>
      </c>
      <c r="B1386" t="s">
        <v>87</v>
      </c>
      <c r="C1386" t="s">
        <v>36</v>
      </c>
      <c r="D1386">
        <v>0.46</v>
      </c>
      <c r="E1386">
        <v>124.07</v>
      </c>
      <c r="F1386">
        <v>0</v>
      </c>
      <c r="G1386">
        <v>0</v>
      </c>
      <c r="H1386">
        <v>2697</v>
      </c>
      <c r="I1386">
        <v>63</v>
      </c>
    </row>
    <row r="1387" spans="1:9" x14ac:dyDescent="0.3">
      <c r="A1387" s="1">
        <v>46023</v>
      </c>
      <c r="B1387" t="s">
        <v>102</v>
      </c>
      <c r="C1387" t="s">
        <v>36</v>
      </c>
      <c r="D1387">
        <v>0.46</v>
      </c>
      <c r="E1387">
        <v>33.35</v>
      </c>
      <c r="F1387">
        <v>0</v>
      </c>
      <c r="G1387">
        <v>0</v>
      </c>
      <c r="H1387">
        <v>725</v>
      </c>
      <c r="I1387">
        <v>63</v>
      </c>
    </row>
    <row r="1388" spans="1:9" x14ac:dyDescent="0.3">
      <c r="A1388" s="1">
        <v>46023</v>
      </c>
      <c r="B1388" t="s">
        <v>103</v>
      </c>
      <c r="C1388" t="s">
        <v>36</v>
      </c>
      <c r="D1388">
        <v>0.4</v>
      </c>
      <c r="E1388">
        <v>38.479999999999997</v>
      </c>
      <c r="F1388">
        <v>0</v>
      </c>
      <c r="G1388">
        <v>0</v>
      </c>
      <c r="H1388">
        <v>962</v>
      </c>
      <c r="I1388">
        <v>66</v>
      </c>
    </row>
    <row r="1389" spans="1:9" x14ac:dyDescent="0.3">
      <c r="A1389" s="1">
        <v>46023</v>
      </c>
      <c r="B1389" t="s">
        <v>113</v>
      </c>
      <c r="C1389" t="s">
        <v>36</v>
      </c>
      <c r="D1389">
        <v>0.39</v>
      </c>
      <c r="E1389">
        <v>35.36</v>
      </c>
      <c r="F1389">
        <v>0</v>
      </c>
      <c r="G1389">
        <v>0</v>
      </c>
      <c r="H1389">
        <v>907</v>
      </c>
      <c r="I1389">
        <v>67</v>
      </c>
    </row>
    <row r="1390" spans="1:9" x14ac:dyDescent="0.3">
      <c r="A1390" s="1">
        <v>46023</v>
      </c>
      <c r="B1390" t="s">
        <v>124</v>
      </c>
      <c r="C1390" t="s">
        <v>36</v>
      </c>
      <c r="D1390">
        <v>0.37</v>
      </c>
      <c r="E1390">
        <v>1.71</v>
      </c>
      <c r="F1390">
        <v>0</v>
      </c>
      <c r="G1390">
        <v>0</v>
      </c>
      <c r="H1390">
        <v>46</v>
      </c>
      <c r="I1390">
        <v>68</v>
      </c>
    </row>
    <row r="1391" spans="1:9" x14ac:dyDescent="0.3">
      <c r="A1391" s="1">
        <v>46023</v>
      </c>
      <c r="B1391" t="s">
        <v>85</v>
      </c>
      <c r="C1391" t="s">
        <v>36</v>
      </c>
      <c r="D1391">
        <v>0.35</v>
      </c>
      <c r="E1391">
        <v>127.17</v>
      </c>
      <c r="F1391">
        <v>0</v>
      </c>
      <c r="G1391">
        <v>0</v>
      </c>
      <c r="H1391">
        <v>3633</v>
      </c>
      <c r="I1391">
        <v>69</v>
      </c>
    </row>
    <row r="1392" spans="1:9" x14ac:dyDescent="0.3">
      <c r="A1392" s="1">
        <v>46023</v>
      </c>
      <c r="B1392" t="s">
        <v>89</v>
      </c>
      <c r="C1392" t="s">
        <v>36</v>
      </c>
      <c r="D1392">
        <v>0.34</v>
      </c>
      <c r="E1392">
        <v>110.33</v>
      </c>
      <c r="F1392">
        <v>0</v>
      </c>
      <c r="G1392">
        <v>0</v>
      </c>
      <c r="H1392">
        <v>3245</v>
      </c>
      <c r="I1392">
        <v>70</v>
      </c>
    </row>
    <row r="1393" spans="1:9" x14ac:dyDescent="0.3">
      <c r="A1393" s="1">
        <v>46023</v>
      </c>
      <c r="B1393" t="s">
        <v>88</v>
      </c>
      <c r="C1393" t="s">
        <v>36</v>
      </c>
      <c r="D1393">
        <v>0.28999999999999998</v>
      </c>
      <c r="E1393">
        <v>69.239999999999995</v>
      </c>
      <c r="F1393">
        <v>0</v>
      </c>
      <c r="G1393">
        <v>0</v>
      </c>
      <c r="H1393">
        <v>2388</v>
      </c>
      <c r="I1393">
        <v>71</v>
      </c>
    </row>
    <row r="1394" spans="1:9" x14ac:dyDescent="0.3">
      <c r="A1394" s="1">
        <v>46023</v>
      </c>
      <c r="B1394" t="s">
        <v>90</v>
      </c>
      <c r="C1394" t="s">
        <v>36</v>
      </c>
      <c r="D1394">
        <v>0.21</v>
      </c>
      <c r="E1394">
        <v>9.1</v>
      </c>
      <c r="F1394">
        <v>0</v>
      </c>
      <c r="G1394">
        <v>0</v>
      </c>
      <c r="H1394">
        <v>433</v>
      </c>
      <c r="I1394">
        <v>72</v>
      </c>
    </row>
    <row r="1395" spans="1:9" x14ac:dyDescent="0.3">
      <c r="A1395" s="1">
        <v>46023</v>
      </c>
      <c r="B1395" t="s">
        <v>99</v>
      </c>
      <c r="C1395" t="s">
        <v>36</v>
      </c>
      <c r="D1395">
        <v>0.21</v>
      </c>
      <c r="E1395">
        <v>7.27</v>
      </c>
      <c r="F1395">
        <v>0</v>
      </c>
      <c r="G1395">
        <v>0</v>
      </c>
      <c r="H1395">
        <v>346</v>
      </c>
      <c r="I1395">
        <v>72</v>
      </c>
    </row>
    <row r="1396" spans="1:9" x14ac:dyDescent="0.3">
      <c r="A1396" s="1">
        <v>46023</v>
      </c>
      <c r="B1396" t="s">
        <v>93</v>
      </c>
      <c r="C1396" t="s">
        <v>36</v>
      </c>
      <c r="D1396">
        <v>0.2</v>
      </c>
      <c r="E1396">
        <v>97.89</v>
      </c>
      <c r="F1396">
        <v>0</v>
      </c>
      <c r="G1396">
        <v>0</v>
      </c>
      <c r="H1396">
        <v>4895</v>
      </c>
      <c r="I1396">
        <v>74</v>
      </c>
    </row>
    <row r="1397" spans="1:9" x14ac:dyDescent="0.3">
      <c r="A1397" s="1">
        <v>46023</v>
      </c>
      <c r="B1397" t="s">
        <v>117</v>
      </c>
      <c r="C1397" t="s">
        <v>36</v>
      </c>
      <c r="D1397">
        <v>0.18</v>
      </c>
      <c r="E1397">
        <v>28.32</v>
      </c>
      <c r="F1397">
        <v>0</v>
      </c>
      <c r="G1397">
        <v>0</v>
      </c>
      <c r="H1397">
        <v>1573</v>
      </c>
      <c r="I1397">
        <v>75</v>
      </c>
    </row>
    <row r="1398" spans="1:9" x14ac:dyDescent="0.3">
      <c r="A1398" s="1">
        <v>46023</v>
      </c>
      <c r="B1398" t="s">
        <v>86</v>
      </c>
      <c r="C1398" t="s">
        <v>36</v>
      </c>
      <c r="D1398">
        <v>0.18</v>
      </c>
      <c r="E1398">
        <v>51.36</v>
      </c>
      <c r="F1398">
        <v>0</v>
      </c>
      <c r="G1398">
        <v>0</v>
      </c>
      <c r="H1398">
        <v>2853</v>
      </c>
      <c r="I1398">
        <v>75</v>
      </c>
    </row>
    <row r="1399" spans="1:9" x14ac:dyDescent="0.3">
      <c r="A1399" s="1">
        <v>46023</v>
      </c>
      <c r="B1399" t="s">
        <v>127</v>
      </c>
      <c r="C1399" t="s">
        <v>36</v>
      </c>
      <c r="D1399">
        <v>0.17</v>
      </c>
      <c r="E1399">
        <v>19.739999999999998</v>
      </c>
      <c r="F1399">
        <v>0</v>
      </c>
      <c r="G1399">
        <v>0</v>
      </c>
      <c r="H1399">
        <v>1161</v>
      </c>
      <c r="I1399">
        <v>77</v>
      </c>
    </row>
    <row r="1400" spans="1:9" x14ac:dyDescent="0.3">
      <c r="A1400" s="1">
        <v>46023</v>
      </c>
      <c r="B1400" t="s">
        <v>101</v>
      </c>
      <c r="C1400" t="s">
        <v>36</v>
      </c>
      <c r="D1400">
        <v>0.14000000000000001</v>
      </c>
      <c r="E1400">
        <v>49.25</v>
      </c>
      <c r="F1400">
        <v>0</v>
      </c>
      <c r="G1400">
        <v>0</v>
      </c>
      <c r="H1400">
        <v>3518</v>
      </c>
      <c r="I1400">
        <v>78</v>
      </c>
    </row>
    <row r="1401" spans="1:9" x14ac:dyDescent="0.3">
      <c r="A1401" s="1">
        <v>46023</v>
      </c>
      <c r="B1401" t="s">
        <v>119</v>
      </c>
      <c r="C1401" t="s">
        <v>36</v>
      </c>
      <c r="D1401">
        <v>0.11</v>
      </c>
      <c r="E1401">
        <v>10.57</v>
      </c>
      <c r="F1401">
        <v>0</v>
      </c>
      <c r="G1401">
        <v>0</v>
      </c>
      <c r="H1401">
        <v>961</v>
      </c>
      <c r="I1401">
        <v>79</v>
      </c>
    </row>
    <row r="1402" spans="1:9" x14ac:dyDescent="0.3">
      <c r="A1402" s="1">
        <v>46023</v>
      </c>
      <c r="B1402" t="s">
        <v>96</v>
      </c>
      <c r="C1402" t="s">
        <v>36</v>
      </c>
      <c r="D1402">
        <v>0.11</v>
      </c>
      <c r="E1402">
        <v>41.01</v>
      </c>
      <c r="F1402">
        <v>0</v>
      </c>
      <c r="G1402">
        <v>0</v>
      </c>
      <c r="H1402">
        <v>3728</v>
      </c>
      <c r="I1402">
        <v>79</v>
      </c>
    </row>
    <row r="1403" spans="1:9" x14ac:dyDescent="0.3">
      <c r="A1403" s="1">
        <v>46023</v>
      </c>
      <c r="B1403" t="s">
        <v>123</v>
      </c>
      <c r="C1403" t="s">
        <v>36</v>
      </c>
      <c r="D1403">
        <v>0.1</v>
      </c>
      <c r="E1403">
        <v>12.15</v>
      </c>
      <c r="F1403">
        <v>0</v>
      </c>
      <c r="G1403">
        <v>0</v>
      </c>
      <c r="H1403">
        <v>1215</v>
      </c>
      <c r="I1403">
        <v>81</v>
      </c>
    </row>
    <row r="1404" spans="1:9" x14ac:dyDescent="0.3">
      <c r="A1404" s="1">
        <v>46023</v>
      </c>
      <c r="B1404" t="s">
        <v>116</v>
      </c>
      <c r="C1404" t="s">
        <v>36</v>
      </c>
      <c r="D1404">
        <v>7.0000000000000007E-2</v>
      </c>
      <c r="E1404">
        <v>25.7</v>
      </c>
      <c r="F1404">
        <v>0</v>
      </c>
      <c r="G1404">
        <v>0</v>
      </c>
      <c r="H1404">
        <v>3671</v>
      </c>
      <c r="I1404">
        <v>82</v>
      </c>
    </row>
    <row r="1405" spans="1:9" x14ac:dyDescent="0.3">
      <c r="A1405" s="1">
        <v>46023</v>
      </c>
      <c r="B1405" t="s">
        <v>110</v>
      </c>
      <c r="C1405" t="s">
        <v>36</v>
      </c>
      <c r="D1405">
        <v>7.0000000000000007E-2</v>
      </c>
      <c r="E1405">
        <v>6.43</v>
      </c>
      <c r="F1405">
        <v>0</v>
      </c>
      <c r="G1405">
        <v>0</v>
      </c>
      <c r="H1405">
        <v>919</v>
      </c>
      <c r="I1405">
        <v>82</v>
      </c>
    </row>
    <row r="1406" spans="1:9" x14ac:dyDescent="0.3">
      <c r="A1406" s="1">
        <v>46023</v>
      </c>
      <c r="B1406" t="s">
        <v>95</v>
      </c>
      <c r="C1406" t="s">
        <v>36</v>
      </c>
      <c r="D1406">
        <v>7.0000000000000007E-2</v>
      </c>
      <c r="E1406">
        <v>28.62</v>
      </c>
      <c r="F1406">
        <v>0</v>
      </c>
      <c r="G1406">
        <v>0</v>
      </c>
      <c r="H1406">
        <v>4089</v>
      </c>
      <c r="I1406">
        <v>82</v>
      </c>
    </row>
    <row r="1407" spans="1:9" x14ac:dyDescent="0.3">
      <c r="A1407" s="1">
        <v>46023</v>
      </c>
      <c r="B1407" t="s">
        <v>105</v>
      </c>
      <c r="C1407" t="s">
        <v>36</v>
      </c>
      <c r="D1407">
        <v>0.06</v>
      </c>
      <c r="E1407">
        <v>14.87</v>
      </c>
      <c r="F1407">
        <v>0</v>
      </c>
      <c r="G1407">
        <v>0</v>
      </c>
      <c r="H1407">
        <v>2478</v>
      </c>
      <c r="I1407">
        <v>85</v>
      </c>
    </row>
    <row r="1408" spans="1:9" x14ac:dyDescent="0.3">
      <c r="A1408" s="1">
        <v>46023</v>
      </c>
      <c r="B1408" t="s">
        <v>125</v>
      </c>
      <c r="C1408" t="s">
        <v>36</v>
      </c>
      <c r="D1408">
        <v>0.05</v>
      </c>
      <c r="E1408">
        <v>3.14</v>
      </c>
      <c r="F1408">
        <v>0</v>
      </c>
      <c r="G1408">
        <v>0</v>
      </c>
      <c r="H1408">
        <v>628</v>
      </c>
      <c r="I1408">
        <v>86</v>
      </c>
    </row>
    <row r="1409" spans="1:9" x14ac:dyDescent="0.3">
      <c r="A1409" s="1">
        <v>46023</v>
      </c>
      <c r="B1409" t="s">
        <v>118</v>
      </c>
      <c r="C1409" t="s">
        <v>36</v>
      </c>
      <c r="D1409">
        <v>0.05</v>
      </c>
      <c r="E1409">
        <v>15.24</v>
      </c>
      <c r="F1409">
        <v>0</v>
      </c>
      <c r="G1409">
        <v>0</v>
      </c>
      <c r="H1409">
        <v>3048</v>
      </c>
      <c r="I1409">
        <v>86</v>
      </c>
    </row>
    <row r="1410" spans="1:9" x14ac:dyDescent="0.3">
      <c r="A1410" s="1">
        <v>46023</v>
      </c>
      <c r="B1410" t="s">
        <v>91</v>
      </c>
      <c r="C1410" t="s">
        <v>36</v>
      </c>
      <c r="D1410">
        <v>0.05</v>
      </c>
      <c r="E1410">
        <v>3.61</v>
      </c>
      <c r="F1410">
        <v>0</v>
      </c>
      <c r="G1410">
        <v>0</v>
      </c>
      <c r="H1410">
        <v>722</v>
      </c>
      <c r="I1410">
        <v>86</v>
      </c>
    </row>
    <row r="1411" spans="1:9" x14ac:dyDescent="0.3">
      <c r="A1411" s="1">
        <v>46023</v>
      </c>
      <c r="B1411" t="s">
        <v>126</v>
      </c>
      <c r="C1411" t="s">
        <v>36</v>
      </c>
      <c r="D1411">
        <v>0.04</v>
      </c>
      <c r="E1411">
        <v>3.33</v>
      </c>
      <c r="F1411">
        <v>0</v>
      </c>
      <c r="G1411">
        <v>0</v>
      </c>
      <c r="H1411">
        <v>833</v>
      </c>
      <c r="I1411">
        <v>89</v>
      </c>
    </row>
    <row r="1412" spans="1:9" x14ac:dyDescent="0.3">
      <c r="A1412" s="1">
        <v>46023</v>
      </c>
      <c r="B1412" t="s">
        <v>128</v>
      </c>
      <c r="C1412" t="s">
        <v>36</v>
      </c>
      <c r="D1412">
        <v>0.04</v>
      </c>
      <c r="E1412">
        <v>7.47</v>
      </c>
      <c r="F1412">
        <v>0</v>
      </c>
      <c r="G1412">
        <v>0</v>
      </c>
      <c r="H1412">
        <v>1868</v>
      </c>
      <c r="I1412">
        <v>89</v>
      </c>
    </row>
    <row r="1413" spans="1:9" x14ac:dyDescent="0.3">
      <c r="A1413" s="1">
        <v>46023</v>
      </c>
      <c r="B1413" t="s">
        <v>104</v>
      </c>
      <c r="C1413" t="s">
        <v>36</v>
      </c>
      <c r="D1413">
        <v>0.03</v>
      </c>
      <c r="E1413">
        <v>15.58</v>
      </c>
      <c r="F1413">
        <v>0</v>
      </c>
      <c r="G1413">
        <v>0</v>
      </c>
      <c r="H1413">
        <v>5193</v>
      </c>
      <c r="I1413">
        <v>91</v>
      </c>
    </row>
    <row r="1414" spans="1:9" x14ac:dyDescent="0.3">
      <c r="A1414" s="1">
        <v>46054</v>
      </c>
      <c r="B1414" t="s">
        <v>32</v>
      </c>
      <c r="C1414" t="s">
        <v>32</v>
      </c>
      <c r="D1414">
        <v>9284.2199999999993</v>
      </c>
      <c r="E1414">
        <v>1310392.95</v>
      </c>
      <c r="F1414">
        <v>45.52</v>
      </c>
      <c r="G1414">
        <v>48.82</v>
      </c>
      <c r="H1414">
        <v>1411</v>
      </c>
      <c r="I1414">
        <v>1</v>
      </c>
    </row>
    <row r="1415" spans="1:9" x14ac:dyDescent="0.3">
      <c r="A1415" s="1">
        <v>46054</v>
      </c>
      <c r="B1415" t="s">
        <v>33</v>
      </c>
      <c r="C1415" t="s">
        <v>33</v>
      </c>
      <c r="D1415">
        <v>6767.14</v>
      </c>
      <c r="E1415">
        <v>903051.6</v>
      </c>
      <c r="F1415">
        <v>33.18</v>
      </c>
      <c r="G1415">
        <v>33.64</v>
      </c>
      <c r="H1415">
        <v>1334</v>
      </c>
      <c r="I1415">
        <v>2</v>
      </c>
    </row>
    <row r="1416" spans="1:9" x14ac:dyDescent="0.3">
      <c r="A1416" s="1">
        <v>46054</v>
      </c>
      <c r="B1416" t="s">
        <v>34</v>
      </c>
      <c r="C1416" t="s">
        <v>34</v>
      </c>
      <c r="D1416">
        <v>1595.09</v>
      </c>
      <c r="E1416">
        <v>174128.86</v>
      </c>
      <c r="F1416">
        <v>7.82</v>
      </c>
      <c r="G1416">
        <v>6.49</v>
      </c>
      <c r="H1416">
        <v>1092</v>
      </c>
      <c r="I1416">
        <v>3</v>
      </c>
    </row>
    <row r="1417" spans="1:9" x14ac:dyDescent="0.3">
      <c r="A1417" s="1">
        <v>46054</v>
      </c>
      <c r="B1417" t="s">
        <v>37</v>
      </c>
      <c r="C1417" t="s">
        <v>36</v>
      </c>
      <c r="D1417">
        <v>650.28</v>
      </c>
      <c r="E1417">
        <v>36563</v>
      </c>
      <c r="F1417">
        <v>3.19</v>
      </c>
      <c r="G1417">
        <v>1.36</v>
      </c>
      <c r="H1417">
        <v>562</v>
      </c>
      <c r="I1417">
        <v>4</v>
      </c>
    </row>
    <row r="1418" spans="1:9" x14ac:dyDescent="0.3">
      <c r="A1418" s="1">
        <v>46054</v>
      </c>
      <c r="B1418" t="s">
        <v>47</v>
      </c>
      <c r="C1418" t="s">
        <v>36</v>
      </c>
      <c r="D1418">
        <v>289.32</v>
      </c>
      <c r="E1418">
        <v>12314.08</v>
      </c>
      <c r="F1418">
        <v>1.42</v>
      </c>
      <c r="G1418">
        <v>0.46</v>
      </c>
      <c r="H1418">
        <v>426</v>
      </c>
      <c r="I1418">
        <v>5</v>
      </c>
    </row>
    <row r="1419" spans="1:9" x14ac:dyDescent="0.3">
      <c r="A1419" s="1">
        <v>46054</v>
      </c>
      <c r="B1419" t="s">
        <v>46</v>
      </c>
      <c r="C1419" t="s">
        <v>36</v>
      </c>
      <c r="D1419">
        <v>175.93</v>
      </c>
      <c r="E1419">
        <v>21263.919999999998</v>
      </c>
      <c r="F1419">
        <v>0.86</v>
      </c>
      <c r="G1419">
        <v>0.79</v>
      </c>
      <c r="H1419">
        <v>1209</v>
      </c>
      <c r="I1419">
        <v>6</v>
      </c>
    </row>
    <row r="1420" spans="1:9" x14ac:dyDescent="0.3">
      <c r="A1420" s="1">
        <v>46054</v>
      </c>
      <c r="B1420" t="s">
        <v>40</v>
      </c>
      <c r="C1420" t="s">
        <v>36</v>
      </c>
      <c r="D1420">
        <v>149.06</v>
      </c>
      <c r="E1420">
        <v>1898.62</v>
      </c>
      <c r="F1420">
        <v>0.73</v>
      </c>
      <c r="G1420">
        <v>7.0000000000000007E-2</v>
      </c>
      <c r="H1420">
        <v>127</v>
      </c>
      <c r="I1420">
        <v>7</v>
      </c>
    </row>
    <row r="1421" spans="1:9" x14ac:dyDescent="0.3">
      <c r="A1421" s="1">
        <v>46054</v>
      </c>
      <c r="B1421" t="s">
        <v>35</v>
      </c>
      <c r="C1421" t="s">
        <v>36</v>
      </c>
      <c r="D1421">
        <v>145.97999999999999</v>
      </c>
      <c r="E1421">
        <v>54045.919999999998</v>
      </c>
      <c r="F1421">
        <v>0.72</v>
      </c>
      <c r="G1421">
        <v>2.0099999999999998</v>
      </c>
      <c r="H1421">
        <v>3702</v>
      </c>
      <c r="I1421">
        <v>8</v>
      </c>
    </row>
    <row r="1422" spans="1:9" x14ac:dyDescent="0.3">
      <c r="A1422" s="1">
        <v>46054</v>
      </c>
      <c r="B1422" t="s">
        <v>38</v>
      </c>
      <c r="C1422" t="s">
        <v>36</v>
      </c>
      <c r="D1422">
        <v>132.11000000000001</v>
      </c>
      <c r="E1422">
        <v>12157.93</v>
      </c>
      <c r="F1422">
        <v>0.65</v>
      </c>
      <c r="G1422">
        <v>0.45</v>
      </c>
      <c r="H1422">
        <v>920</v>
      </c>
      <c r="I1422">
        <v>9</v>
      </c>
    </row>
    <row r="1423" spans="1:9" x14ac:dyDescent="0.3">
      <c r="A1423" s="1">
        <v>46054</v>
      </c>
      <c r="B1423" t="s">
        <v>42</v>
      </c>
      <c r="C1423" t="s">
        <v>36</v>
      </c>
      <c r="D1423">
        <v>112.89</v>
      </c>
      <c r="E1423">
        <v>8557.08</v>
      </c>
      <c r="F1423">
        <v>0.55000000000000004</v>
      </c>
      <c r="G1423">
        <v>0.32</v>
      </c>
      <c r="H1423">
        <v>758</v>
      </c>
      <c r="I1423">
        <v>10</v>
      </c>
    </row>
    <row r="1424" spans="1:9" x14ac:dyDescent="0.3">
      <c r="A1424" s="1">
        <v>46054</v>
      </c>
      <c r="B1424" t="s">
        <v>43</v>
      </c>
      <c r="C1424" t="s">
        <v>36</v>
      </c>
      <c r="D1424">
        <v>102</v>
      </c>
      <c r="E1424">
        <v>12295.9</v>
      </c>
      <c r="F1424">
        <v>0.5</v>
      </c>
      <c r="G1424">
        <v>0.46</v>
      </c>
      <c r="H1424">
        <v>1205</v>
      </c>
      <c r="I1424">
        <v>11</v>
      </c>
    </row>
    <row r="1425" spans="1:9" x14ac:dyDescent="0.3">
      <c r="A1425" s="1">
        <v>46054</v>
      </c>
      <c r="B1425" t="s">
        <v>39</v>
      </c>
      <c r="C1425" t="s">
        <v>36</v>
      </c>
      <c r="D1425">
        <v>75.81</v>
      </c>
      <c r="E1425">
        <v>9288.2099999999991</v>
      </c>
      <c r="F1425">
        <v>0.37</v>
      </c>
      <c r="G1425">
        <v>0.35</v>
      </c>
      <c r="H1425">
        <v>1225</v>
      </c>
      <c r="I1425">
        <v>12</v>
      </c>
    </row>
    <row r="1426" spans="1:9" x14ac:dyDescent="0.3">
      <c r="A1426" s="1">
        <v>46054</v>
      </c>
      <c r="B1426" t="s">
        <v>44</v>
      </c>
      <c r="C1426" t="s">
        <v>36</v>
      </c>
      <c r="D1426">
        <v>66.94</v>
      </c>
      <c r="E1426">
        <v>15248.82</v>
      </c>
      <c r="F1426">
        <v>0.33</v>
      </c>
      <c r="G1426">
        <v>0.56999999999999995</v>
      </c>
      <c r="H1426">
        <v>2278</v>
      </c>
      <c r="I1426">
        <v>13</v>
      </c>
    </row>
    <row r="1427" spans="1:9" x14ac:dyDescent="0.3">
      <c r="A1427" s="1">
        <v>46054</v>
      </c>
      <c r="B1427" t="s">
        <v>49</v>
      </c>
      <c r="C1427" t="s">
        <v>36</v>
      </c>
      <c r="D1427">
        <v>65.81</v>
      </c>
      <c r="E1427">
        <v>7509.87</v>
      </c>
      <c r="F1427">
        <v>0.32</v>
      </c>
      <c r="G1427">
        <v>0.28000000000000003</v>
      </c>
      <c r="H1427">
        <v>1141</v>
      </c>
      <c r="I1427">
        <v>14</v>
      </c>
    </row>
    <row r="1428" spans="1:9" x14ac:dyDescent="0.3">
      <c r="A1428" s="1">
        <v>46054</v>
      </c>
      <c r="B1428" t="s">
        <v>53</v>
      </c>
      <c r="C1428" t="s">
        <v>36</v>
      </c>
      <c r="D1428">
        <v>42.57</v>
      </c>
      <c r="E1428">
        <v>4205.18</v>
      </c>
      <c r="F1428">
        <v>0.21</v>
      </c>
      <c r="G1428">
        <v>0.16</v>
      </c>
      <c r="H1428">
        <v>988</v>
      </c>
      <c r="I1428">
        <v>15</v>
      </c>
    </row>
    <row r="1429" spans="1:9" x14ac:dyDescent="0.3">
      <c r="A1429" s="1">
        <v>46054</v>
      </c>
      <c r="B1429" t="s">
        <v>45</v>
      </c>
      <c r="C1429" t="s">
        <v>36</v>
      </c>
      <c r="D1429">
        <v>42.07</v>
      </c>
      <c r="E1429">
        <v>6194.7</v>
      </c>
      <c r="F1429">
        <v>0.21</v>
      </c>
      <c r="G1429">
        <v>0.23</v>
      </c>
      <c r="H1429">
        <v>1472</v>
      </c>
      <c r="I1429">
        <v>16</v>
      </c>
    </row>
    <row r="1430" spans="1:9" x14ac:dyDescent="0.3">
      <c r="A1430" s="1">
        <v>46054</v>
      </c>
      <c r="B1430" t="s">
        <v>41</v>
      </c>
      <c r="C1430" t="s">
        <v>36</v>
      </c>
      <c r="D1430">
        <v>39.950000000000003</v>
      </c>
      <c r="E1430">
        <v>18213.669999999998</v>
      </c>
      <c r="F1430">
        <v>0.2</v>
      </c>
      <c r="G1430">
        <v>0.68</v>
      </c>
      <c r="H1430">
        <v>4559</v>
      </c>
      <c r="I1430">
        <v>17</v>
      </c>
    </row>
    <row r="1431" spans="1:9" x14ac:dyDescent="0.3">
      <c r="A1431" s="1">
        <v>46054</v>
      </c>
      <c r="B1431" t="s">
        <v>55</v>
      </c>
      <c r="C1431" t="s">
        <v>36</v>
      </c>
      <c r="D1431">
        <v>37.409999999999997</v>
      </c>
      <c r="E1431">
        <v>3228.56</v>
      </c>
      <c r="F1431">
        <v>0.18</v>
      </c>
      <c r="G1431">
        <v>0.12</v>
      </c>
      <c r="H1431">
        <v>863</v>
      </c>
      <c r="I1431">
        <v>18</v>
      </c>
    </row>
    <row r="1432" spans="1:9" x14ac:dyDescent="0.3">
      <c r="A1432" s="1">
        <v>46054</v>
      </c>
      <c r="B1432" t="s">
        <v>57</v>
      </c>
      <c r="C1432" t="s">
        <v>36</v>
      </c>
      <c r="D1432">
        <v>16.52</v>
      </c>
      <c r="E1432">
        <v>1788.5</v>
      </c>
      <c r="F1432">
        <v>0.08</v>
      </c>
      <c r="G1432">
        <v>7.0000000000000007E-2</v>
      </c>
      <c r="H1432">
        <v>1083</v>
      </c>
      <c r="I1432">
        <v>19</v>
      </c>
    </row>
    <row r="1433" spans="1:9" x14ac:dyDescent="0.3">
      <c r="A1433" s="1">
        <v>46054</v>
      </c>
      <c r="B1433" t="s">
        <v>48</v>
      </c>
      <c r="C1433" t="s">
        <v>36</v>
      </c>
      <c r="D1433">
        <v>16.329999999999998</v>
      </c>
      <c r="E1433">
        <v>1323.37</v>
      </c>
      <c r="F1433">
        <v>0.08</v>
      </c>
      <c r="G1433">
        <v>0.05</v>
      </c>
      <c r="H1433">
        <v>810</v>
      </c>
      <c r="I1433">
        <v>20</v>
      </c>
    </row>
    <row r="1434" spans="1:9" x14ac:dyDescent="0.3">
      <c r="A1434" s="1">
        <v>46054</v>
      </c>
      <c r="B1434" t="s">
        <v>50</v>
      </c>
      <c r="C1434" t="s">
        <v>36</v>
      </c>
      <c r="D1434">
        <v>16.3</v>
      </c>
      <c r="E1434">
        <v>12154.86</v>
      </c>
      <c r="F1434">
        <v>0.08</v>
      </c>
      <c r="G1434">
        <v>0.45</v>
      </c>
      <c r="H1434">
        <v>7457</v>
      </c>
      <c r="I1434">
        <v>21</v>
      </c>
    </row>
    <row r="1435" spans="1:9" x14ac:dyDescent="0.3">
      <c r="A1435" s="1">
        <v>46054</v>
      </c>
      <c r="B1435" t="s">
        <v>54</v>
      </c>
      <c r="C1435" t="s">
        <v>36</v>
      </c>
      <c r="D1435">
        <v>15.7</v>
      </c>
      <c r="E1435">
        <v>4698.51</v>
      </c>
      <c r="F1435">
        <v>0.08</v>
      </c>
      <c r="G1435">
        <v>0.18</v>
      </c>
      <c r="H1435">
        <v>2993</v>
      </c>
      <c r="I1435">
        <v>22</v>
      </c>
    </row>
    <row r="1436" spans="1:9" x14ac:dyDescent="0.3">
      <c r="A1436" s="1">
        <v>46054</v>
      </c>
      <c r="B1436" t="s">
        <v>52</v>
      </c>
      <c r="C1436" t="s">
        <v>36</v>
      </c>
      <c r="D1436">
        <v>13.01</v>
      </c>
      <c r="E1436">
        <v>2805.76</v>
      </c>
      <c r="F1436">
        <v>0.06</v>
      </c>
      <c r="G1436">
        <v>0.1</v>
      </c>
      <c r="H1436">
        <v>2157</v>
      </c>
      <c r="I1436">
        <v>23</v>
      </c>
    </row>
    <row r="1437" spans="1:9" x14ac:dyDescent="0.3">
      <c r="A1437" s="1">
        <v>46054</v>
      </c>
      <c r="B1437" t="s">
        <v>56</v>
      </c>
      <c r="C1437" t="s">
        <v>36</v>
      </c>
      <c r="D1437">
        <v>10.29</v>
      </c>
      <c r="E1437">
        <v>679.66</v>
      </c>
      <c r="F1437">
        <v>0.05</v>
      </c>
      <c r="G1437">
        <v>0.03</v>
      </c>
      <c r="H1437">
        <v>661</v>
      </c>
      <c r="I1437">
        <v>24</v>
      </c>
    </row>
    <row r="1438" spans="1:9" x14ac:dyDescent="0.3">
      <c r="A1438" s="1">
        <v>46054</v>
      </c>
      <c r="B1438" t="s">
        <v>67</v>
      </c>
      <c r="C1438" t="s">
        <v>36</v>
      </c>
      <c r="D1438">
        <v>10.029999999999999</v>
      </c>
      <c r="E1438">
        <v>4216.83</v>
      </c>
      <c r="F1438">
        <v>0.05</v>
      </c>
      <c r="G1438">
        <v>0.16</v>
      </c>
      <c r="H1438">
        <v>4204</v>
      </c>
      <c r="I1438">
        <v>25</v>
      </c>
    </row>
    <row r="1439" spans="1:9" x14ac:dyDescent="0.3">
      <c r="A1439" s="1">
        <v>46054</v>
      </c>
      <c r="B1439" t="s">
        <v>65</v>
      </c>
      <c r="C1439" t="s">
        <v>36</v>
      </c>
      <c r="D1439">
        <v>8.48</v>
      </c>
      <c r="E1439">
        <v>662.57</v>
      </c>
      <c r="F1439">
        <v>0.04</v>
      </c>
      <c r="G1439">
        <v>0.02</v>
      </c>
      <c r="H1439">
        <v>781</v>
      </c>
      <c r="I1439">
        <v>26</v>
      </c>
    </row>
    <row r="1440" spans="1:9" x14ac:dyDescent="0.3">
      <c r="A1440" s="1">
        <v>46054</v>
      </c>
      <c r="B1440" t="s">
        <v>58</v>
      </c>
      <c r="C1440" t="s">
        <v>36</v>
      </c>
      <c r="D1440">
        <v>6.7</v>
      </c>
      <c r="E1440">
        <v>2002.22</v>
      </c>
      <c r="F1440">
        <v>0.03</v>
      </c>
      <c r="G1440">
        <v>7.0000000000000007E-2</v>
      </c>
      <c r="H1440">
        <v>2988</v>
      </c>
      <c r="I1440">
        <v>27</v>
      </c>
    </row>
    <row r="1441" spans="1:9" x14ac:dyDescent="0.3">
      <c r="A1441" s="1">
        <v>46054</v>
      </c>
      <c r="B1441" t="s">
        <v>62</v>
      </c>
      <c r="C1441" t="s">
        <v>36</v>
      </c>
      <c r="D1441">
        <v>6.64</v>
      </c>
      <c r="E1441">
        <v>449.17</v>
      </c>
      <c r="F1441">
        <v>0.03</v>
      </c>
      <c r="G1441">
        <v>0.02</v>
      </c>
      <c r="H1441">
        <v>676</v>
      </c>
      <c r="I1441">
        <v>28</v>
      </c>
    </row>
    <row r="1442" spans="1:9" x14ac:dyDescent="0.3">
      <c r="A1442" s="1">
        <v>46054</v>
      </c>
      <c r="B1442" t="s">
        <v>59</v>
      </c>
      <c r="C1442" t="s">
        <v>36</v>
      </c>
      <c r="D1442">
        <v>5.35</v>
      </c>
      <c r="E1442">
        <v>897.61</v>
      </c>
      <c r="F1442">
        <v>0.03</v>
      </c>
      <c r="G1442">
        <v>0.03</v>
      </c>
      <c r="H1442">
        <v>1678</v>
      </c>
      <c r="I1442">
        <v>29</v>
      </c>
    </row>
    <row r="1443" spans="1:9" x14ac:dyDescent="0.3">
      <c r="A1443" s="1">
        <v>46054</v>
      </c>
      <c r="B1443" t="s">
        <v>60</v>
      </c>
      <c r="C1443" t="s">
        <v>36</v>
      </c>
      <c r="D1443">
        <v>4.8499999999999996</v>
      </c>
      <c r="E1443">
        <v>791.38</v>
      </c>
      <c r="F1443">
        <v>0.02</v>
      </c>
      <c r="G1443">
        <v>0.03</v>
      </c>
      <c r="H1443">
        <v>1632</v>
      </c>
      <c r="I1443">
        <v>30</v>
      </c>
    </row>
    <row r="1444" spans="1:9" x14ac:dyDescent="0.3">
      <c r="A1444" s="1">
        <v>46054</v>
      </c>
      <c r="B1444" t="s">
        <v>115</v>
      </c>
      <c r="C1444" t="s">
        <v>36</v>
      </c>
      <c r="D1444">
        <v>3.7</v>
      </c>
      <c r="E1444">
        <v>1096.3800000000001</v>
      </c>
      <c r="F1444">
        <v>0.02</v>
      </c>
      <c r="G1444">
        <v>0.04</v>
      </c>
      <c r="H1444">
        <v>2963</v>
      </c>
      <c r="I1444">
        <v>31</v>
      </c>
    </row>
    <row r="1445" spans="1:9" x14ac:dyDescent="0.3">
      <c r="A1445" s="1">
        <v>46054</v>
      </c>
      <c r="B1445" t="s">
        <v>61</v>
      </c>
      <c r="C1445" t="s">
        <v>36</v>
      </c>
      <c r="D1445">
        <v>3.61</v>
      </c>
      <c r="E1445">
        <v>972.59</v>
      </c>
      <c r="F1445">
        <v>0.02</v>
      </c>
      <c r="G1445">
        <v>0.04</v>
      </c>
      <c r="H1445">
        <v>2694</v>
      </c>
      <c r="I1445">
        <v>32</v>
      </c>
    </row>
    <row r="1446" spans="1:9" x14ac:dyDescent="0.3">
      <c r="A1446" s="1">
        <v>46054</v>
      </c>
      <c r="B1446" t="s">
        <v>112</v>
      </c>
      <c r="C1446" t="s">
        <v>36</v>
      </c>
      <c r="D1446">
        <v>2.83</v>
      </c>
      <c r="E1446">
        <v>157.81</v>
      </c>
      <c r="F1446">
        <v>0.01</v>
      </c>
      <c r="G1446">
        <v>0.01</v>
      </c>
      <c r="H1446">
        <v>558</v>
      </c>
      <c r="I1446">
        <v>33</v>
      </c>
    </row>
    <row r="1447" spans="1:9" x14ac:dyDescent="0.3">
      <c r="A1447" s="1">
        <v>46054</v>
      </c>
      <c r="B1447" t="s">
        <v>98</v>
      </c>
      <c r="C1447" t="s">
        <v>36</v>
      </c>
      <c r="D1447">
        <v>2.72</v>
      </c>
      <c r="E1447">
        <v>224.48</v>
      </c>
      <c r="F1447">
        <v>0.01</v>
      </c>
      <c r="G1447">
        <v>0.01</v>
      </c>
      <c r="H1447">
        <v>825</v>
      </c>
      <c r="I1447">
        <v>34</v>
      </c>
    </row>
    <row r="1448" spans="1:9" x14ac:dyDescent="0.3">
      <c r="A1448" s="1">
        <v>46054</v>
      </c>
      <c r="B1448" t="s">
        <v>82</v>
      </c>
      <c r="C1448" t="s">
        <v>36</v>
      </c>
      <c r="D1448">
        <v>2.65</v>
      </c>
      <c r="E1448">
        <v>434.15</v>
      </c>
      <c r="F1448">
        <v>0.01</v>
      </c>
      <c r="G1448">
        <v>0.02</v>
      </c>
      <c r="H1448">
        <v>1638</v>
      </c>
      <c r="I1448">
        <v>35</v>
      </c>
    </row>
    <row r="1449" spans="1:9" x14ac:dyDescent="0.3">
      <c r="A1449" s="1">
        <v>46054</v>
      </c>
      <c r="B1449" t="s">
        <v>71</v>
      </c>
      <c r="C1449" t="s">
        <v>36</v>
      </c>
      <c r="D1449">
        <v>2.65</v>
      </c>
      <c r="E1449">
        <v>394.59</v>
      </c>
      <c r="F1449">
        <v>0.01</v>
      </c>
      <c r="G1449">
        <v>0.01</v>
      </c>
      <c r="H1449">
        <v>1489</v>
      </c>
      <c r="I1449">
        <v>35</v>
      </c>
    </row>
    <row r="1450" spans="1:9" x14ac:dyDescent="0.3">
      <c r="A1450" s="1">
        <v>46054</v>
      </c>
      <c r="B1450" t="s">
        <v>122</v>
      </c>
      <c r="C1450" t="s">
        <v>36</v>
      </c>
      <c r="D1450">
        <v>2.44</v>
      </c>
      <c r="E1450">
        <v>142.33000000000001</v>
      </c>
      <c r="F1450">
        <v>0.01</v>
      </c>
      <c r="G1450">
        <v>0.01</v>
      </c>
      <c r="H1450">
        <v>583</v>
      </c>
      <c r="I1450">
        <v>37</v>
      </c>
    </row>
    <row r="1451" spans="1:9" x14ac:dyDescent="0.3">
      <c r="A1451" s="1">
        <v>46054</v>
      </c>
      <c r="B1451" t="s">
        <v>51</v>
      </c>
      <c r="C1451" t="s">
        <v>36</v>
      </c>
      <c r="D1451">
        <v>2.39</v>
      </c>
      <c r="E1451">
        <v>115.59</v>
      </c>
      <c r="F1451">
        <v>0.01</v>
      </c>
      <c r="G1451">
        <v>0</v>
      </c>
      <c r="H1451">
        <v>484</v>
      </c>
      <c r="I1451">
        <v>38</v>
      </c>
    </row>
    <row r="1452" spans="1:9" x14ac:dyDescent="0.3">
      <c r="A1452" s="1">
        <v>46054</v>
      </c>
      <c r="B1452" t="s">
        <v>83</v>
      </c>
      <c r="C1452" t="s">
        <v>36</v>
      </c>
      <c r="D1452">
        <v>2.37</v>
      </c>
      <c r="E1452">
        <v>13.3</v>
      </c>
      <c r="F1452">
        <v>0.01</v>
      </c>
      <c r="G1452">
        <v>0</v>
      </c>
      <c r="H1452">
        <v>56</v>
      </c>
      <c r="I1452">
        <v>39</v>
      </c>
    </row>
    <row r="1453" spans="1:9" x14ac:dyDescent="0.3">
      <c r="A1453" s="1">
        <v>46054</v>
      </c>
      <c r="B1453" t="s">
        <v>63</v>
      </c>
      <c r="C1453" t="s">
        <v>36</v>
      </c>
      <c r="D1453">
        <v>1.96</v>
      </c>
      <c r="E1453">
        <v>536.12</v>
      </c>
      <c r="F1453">
        <v>0.01</v>
      </c>
      <c r="G1453">
        <v>0.02</v>
      </c>
      <c r="H1453">
        <v>2735</v>
      </c>
      <c r="I1453">
        <v>40</v>
      </c>
    </row>
    <row r="1454" spans="1:9" x14ac:dyDescent="0.3">
      <c r="A1454" s="1">
        <v>46054</v>
      </c>
      <c r="B1454" t="s">
        <v>108</v>
      </c>
      <c r="C1454" t="s">
        <v>36</v>
      </c>
      <c r="D1454">
        <v>1.92</v>
      </c>
      <c r="E1454">
        <v>299.83</v>
      </c>
      <c r="F1454">
        <v>0.01</v>
      </c>
      <c r="G1454">
        <v>0.01</v>
      </c>
      <c r="H1454">
        <v>1562</v>
      </c>
      <c r="I1454">
        <v>41</v>
      </c>
    </row>
    <row r="1455" spans="1:9" x14ac:dyDescent="0.3">
      <c r="A1455" s="1">
        <v>46054</v>
      </c>
      <c r="B1455" t="s">
        <v>72</v>
      </c>
      <c r="C1455" t="s">
        <v>36</v>
      </c>
      <c r="D1455">
        <v>1.87</v>
      </c>
      <c r="E1455">
        <v>25.79</v>
      </c>
      <c r="F1455">
        <v>0.01</v>
      </c>
      <c r="G1455">
        <v>0</v>
      </c>
      <c r="H1455">
        <v>138</v>
      </c>
      <c r="I1455">
        <v>42</v>
      </c>
    </row>
    <row r="1456" spans="1:9" x14ac:dyDescent="0.3">
      <c r="A1456" s="1">
        <v>46054</v>
      </c>
      <c r="B1456" t="s">
        <v>68</v>
      </c>
      <c r="C1456" t="s">
        <v>36</v>
      </c>
      <c r="D1456">
        <v>1.77</v>
      </c>
      <c r="E1456">
        <v>92.21</v>
      </c>
      <c r="F1456">
        <v>0.01</v>
      </c>
      <c r="G1456">
        <v>0</v>
      </c>
      <c r="H1456">
        <v>521</v>
      </c>
      <c r="I1456">
        <v>43</v>
      </c>
    </row>
    <row r="1457" spans="1:9" x14ac:dyDescent="0.3">
      <c r="A1457" s="1">
        <v>46054</v>
      </c>
      <c r="B1457" t="s">
        <v>64</v>
      </c>
      <c r="C1457" t="s">
        <v>36</v>
      </c>
      <c r="D1457">
        <v>1.45</v>
      </c>
      <c r="E1457">
        <v>455.61</v>
      </c>
      <c r="F1457">
        <v>0.01</v>
      </c>
      <c r="G1457">
        <v>0.02</v>
      </c>
      <c r="H1457">
        <v>3142</v>
      </c>
      <c r="I1457">
        <v>44</v>
      </c>
    </row>
    <row r="1458" spans="1:9" x14ac:dyDescent="0.3">
      <c r="A1458" s="1">
        <v>46054</v>
      </c>
      <c r="B1458" t="s">
        <v>69</v>
      </c>
      <c r="C1458" t="s">
        <v>36</v>
      </c>
      <c r="D1458">
        <v>1.44</v>
      </c>
      <c r="E1458">
        <v>425.74</v>
      </c>
      <c r="F1458">
        <v>0.01</v>
      </c>
      <c r="G1458">
        <v>0.02</v>
      </c>
      <c r="H1458">
        <v>2957</v>
      </c>
      <c r="I1458">
        <v>45</v>
      </c>
    </row>
    <row r="1459" spans="1:9" x14ac:dyDescent="0.3">
      <c r="A1459" s="1">
        <v>46054</v>
      </c>
      <c r="B1459" t="s">
        <v>79</v>
      </c>
      <c r="C1459" t="s">
        <v>36</v>
      </c>
      <c r="D1459">
        <v>1.31</v>
      </c>
      <c r="E1459">
        <v>472.46</v>
      </c>
      <c r="F1459">
        <v>0.01</v>
      </c>
      <c r="G1459">
        <v>0.02</v>
      </c>
      <c r="H1459">
        <v>3607</v>
      </c>
      <c r="I1459">
        <v>46</v>
      </c>
    </row>
    <row r="1460" spans="1:9" x14ac:dyDescent="0.3">
      <c r="A1460" s="1">
        <v>46054</v>
      </c>
      <c r="B1460" t="s">
        <v>76</v>
      </c>
      <c r="C1460" t="s">
        <v>36</v>
      </c>
      <c r="D1460">
        <v>1.25</v>
      </c>
      <c r="E1460">
        <v>148.32</v>
      </c>
      <c r="F1460">
        <v>0.01</v>
      </c>
      <c r="G1460">
        <v>0.01</v>
      </c>
      <c r="H1460">
        <v>1187</v>
      </c>
      <c r="I1460">
        <v>47</v>
      </c>
    </row>
    <row r="1461" spans="1:9" x14ac:dyDescent="0.3">
      <c r="A1461" s="1">
        <v>46054</v>
      </c>
      <c r="B1461" t="s">
        <v>66</v>
      </c>
      <c r="C1461" t="s">
        <v>36</v>
      </c>
      <c r="D1461">
        <v>1.23</v>
      </c>
      <c r="E1461">
        <v>21.55</v>
      </c>
      <c r="F1461">
        <v>0.01</v>
      </c>
      <c r="G1461">
        <v>0</v>
      </c>
      <c r="H1461">
        <v>175</v>
      </c>
      <c r="I1461">
        <v>48</v>
      </c>
    </row>
    <row r="1462" spans="1:9" x14ac:dyDescent="0.3">
      <c r="A1462" s="1">
        <v>46054</v>
      </c>
      <c r="B1462" t="s">
        <v>80</v>
      </c>
      <c r="C1462" t="s">
        <v>36</v>
      </c>
      <c r="D1462">
        <v>1.17</v>
      </c>
      <c r="E1462">
        <v>197.23</v>
      </c>
      <c r="F1462">
        <v>0.01</v>
      </c>
      <c r="G1462">
        <v>0.01</v>
      </c>
      <c r="H1462">
        <v>1686</v>
      </c>
      <c r="I1462">
        <v>49</v>
      </c>
    </row>
    <row r="1463" spans="1:9" x14ac:dyDescent="0.3">
      <c r="A1463" s="1">
        <v>46054</v>
      </c>
      <c r="B1463" t="s">
        <v>94</v>
      </c>
      <c r="C1463" t="s">
        <v>36</v>
      </c>
      <c r="D1463">
        <v>0.96</v>
      </c>
      <c r="E1463">
        <v>277.82</v>
      </c>
      <c r="F1463">
        <v>0</v>
      </c>
      <c r="G1463">
        <v>0.01</v>
      </c>
      <c r="H1463">
        <v>2894</v>
      </c>
      <c r="I1463">
        <v>50</v>
      </c>
    </row>
    <row r="1464" spans="1:9" x14ac:dyDescent="0.3">
      <c r="A1464" s="1">
        <v>46054</v>
      </c>
      <c r="B1464" t="s">
        <v>78</v>
      </c>
      <c r="C1464" t="s">
        <v>36</v>
      </c>
      <c r="D1464">
        <v>0.85</v>
      </c>
      <c r="E1464">
        <v>277.08</v>
      </c>
      <c r="F1464">
        <v>0</v>
      </c>
      <c r="G1464">
        <v>0.01</v>
      </c>
      <c r="H1464">
        <v>3260</v>
      </c>
      <c r="I1464">
        <v>51</v>
      </c>
    </row>
    <row r="1465" spans="1:9" x14ac:dyDescent="0.3">
      <c r="A1465" s="1">
        <v>46054</v>
      </c>
      <c r="B1465" t="s">
        <v>73</v>
      </c>
      <c r="C1465" t="s">
        <v>36</v>
      </c>
      <c r="D1465">
        <v>0.84</v>
      </c>
      <c r="E1465">
        <v>241.03</v>
      </c>
      <c r="F1465">
        <v>0</v>
      </c>
      <c r="G1465">
        <v>0.01</v>
      </c>
      <c r="H1465">
        <v>2869</v>
      </c>
      <c r="I1465">
        <v>52</v>
      </c>
    </row>
    <row r="1466" spans="1:9" x14ac:dyDescent="0.3">
      <c r="A1466" s="1">
        <v>46054</v>
      </c>
      <c r="B1466" t="s">
        <v>74</v>
      </c>
      <c r="C1466" t="s">
        <v>36</v>
      </c>
      <c r="D1466">
        <v>0.84</v>
      </c>
      <c r="E1466">
        <v>266.22000000000003</v>
      </c>
      <c r="F1466">
        <v>0</v>
      </c>
      <c r="G1466">
        <v>0.01</v>
      </c>
      <c r="H1466">
        <v>3169</v>
      </c>
      <c r="I1466">
        <v>52</v>
      </c>
    </row>
    <row r="1467" spans="1:9" x14ac:dyDescent="0.3">
      <c r="A1467" s="1">
        <v>46054</v>
      </c>
      <c r="B1467" t="s">
        <v>103</v>
      </c>
      <c r="C1467" t="s">
        <v>36</v>
      </c>
      <c r="D1467">
        <v>0.77</v>
      </c>
      <c r="E1467">
        <v>72.69</v>
      </c>
      <c r="F1467">
        <v>0</v>
      </c>
      <c r="G1467">
        <v>0</v>
      </c>
      <c r="H1467">
        <v>944</v>
      </c>
      <c r="I1467">
        <v>54</v>
      </c>
    </row>
    <row r="1468" spans="1:9" x14ac:dyDescent="0.3">
      <c r="A1468" s="1">
        <v>46054</v>
      </c>
      <c r="B1468" t="s">
        <v>81</v>
      </c>
      <c r="C1468" t="s">
        <v>36</v>
      </c>
      <c r="D1468">
        <v>0.71</v>
      </c>
      <c r="E1468">
        <v>82.45</v>
      </c>
      <c r="F1468">
        <v>0</v>
      </c>
      <c r="G1468">
        <v>0</v>
      </c>
      <c r="H1468">
        <v>1161</v>
      </c>
      <c r="I1468">
        <v>55</v>
      </c>
    </row>
    <row r="1469" spans="1:9" x14ac:dyDescent="0.3">
      <c r="A1469" s="1">
        <v>46054</v>
      </c>
      <c r="B1469" t="s">
        <v>114</v>
      </c>
      <c r="C1469" t="s">
        <v>36</v>
      </c>
      <c r="D1469">
        <v>0.67</v>
      </c>
      <c r="E1469">
        <v>58.61</v>
      </c>
      <c r="F1469">
        <v>0</v>
      </c>
      <c r="G1469">
        <v>0</v>
      </c>
      <c r="H1469">
        <v>875</v>
      </c>
      <c r="I1469">
        <v>56</v>
      </c>
    </row>
    <row r="1470" spans="1:9" x14ac:dyDescent="0.3">
      <c r="A1470" s="1">
        <v>46054</v>
      </c>
      <c r="B1470" t="s">
        <v>121</v>
      </c>
      <c r="C1470" t="s">
        <v>36</v>
      </c>
      <c r="D1470">
        <v>0.63</v>
      </c>
      <c r="E1470">
        <v>19.07</v>
      </c>
      <c r="F1470">
        <v>0</v>
      </c>
      <c r="G1470">
        <v>0</v>
      </c>
      <c r="H1470">
        <v>303</v>
      </c>
      <c r="I1470">
        <v>57</v>
      </c>
    </row>
    <row r="1471" spans="1:9" x14ac:dyDescent="0.3">
      <c r="A1471" s="1">
        <v>46054</v>
      </c>
      <c r="B1471" t="s">
        <v>84</v>
      </c>
      <c r="C1471" t="s">
        <v>36</v>
      </c>
      <c r="D1471">
        <v>0.56999999999999995</v>
      </c>
      <c r="E1471">
        <v>161.22</v>
      </c>
      <c r="F1471">
        <v>0</v>
      </c>
      <c r="G1471">
        <v>0.01</v>
      </c>
      <c r="H1471">
        <v>2828</v>
      </c>
      <c r="I1471">
        <v>58</v>
      </c>
    </row>
    <row r="1472" spans="1:9" x14ac:dyDescent="0.3">
      <c r="A1472" s="1">
        <v>46054</v>
      </c>
      <c r="B1472" t="s">
        <v>100</v>
      </c>
      <c r="C1472" t="s">
        <v>36</v>
      </c>
      <c r="D1472">
        <v>0.56999999999999995</v>
      </c>
      <c r="E1472">
        <v>684.4</v>
      </c>
      <c r="F1472">
        <v>0</v>
      </c>
      <c r="G1472">
        <v>0.03</v>
      </c>
      <c r="H1472">
        <v>12007</v>
      </c>
      <c r="I1472">
        <v>58</v>
      </c>
    </row>
    <row r="1473" spans="1:9" x14ac:dyDescent="0.3">
      <c r="A1473" s="1">
        <v>46054</v>
      </c>
      <c r="B1473" t="s">
        <v>75</v>
      </c>
      <c r="C1473" t="s">
        <v>36</v>
      </c>
      <c r="D1473">
        <v>0.55000000000000004</v>
      </c>
      <c r="E1473">
        <v>205.24</v>
      </c>
      <c r="F1473">
        <v>0</v>
      </c>
      <c r="G1473">
        <v>0.01</v>
      </c>
      <c r="H1473">
        <v>3732</v>
      </c>
      <c r="I1473">
        <v>60</v>
      </c>
    </row>
    <row r="1474" spans="1:9" x14ac:dyDescent="0.3">
      <c r="A1474" s="1">
        <v>46054</v>
      </c>
      <c r="B1474" t="s">
        <v>77</v>
      </c>
      <c r="C1474" t="s">
        <v>36</v>
      </c>
      <c r="D1474">
        <v>0.52</v>
      </c>
      <c r="E1474">
        <v>51.55</v>
      </c>
      <c r="F1474">
        <v>0</v>
      </c>
      <c r="G1474">
        <v>0</v>
      </c>
      <c r="H1474">
        <v>991</v>
      </c>
      <c r="I1474">
        <v>61</v>
      </c>
    </row>
    <row r="1475" spans="1:9" x14ac:dyDescent="0.3">
      <c r="A1475" s="1">
        <v>46054</v>
      </c>
      <c r="B1475" t="s">
        <v>102</v>
      </c>
      <c r="C1475" t="s">
        <v>36</v>
      </c>
      <c r="D1475">
        <v>0.48</v>
      </c>
      <c r="E1475">
        <v>38.44</v>
      </c>
      <c r="F1475">
        <v>0</v>
      </c>
      <c r="G1475">
        <v>0</v>
      </c>
      <c r="H1475">
        <v>801</v>
      </c>
      <c r="I1475">
        <v>62</v>
      </c>
    </row>
    <row r="1476" spans="1:9" x14ac:dyDescent="0.3">
      <c r="A1476" s="1">
        <v>46054</v>
      </c>
      <c r="B1476" t="s">
        <v>70</v>
      </c>
      <c r="C1476" t="s">
        <v>36</v>
      </c>
      <c r="D1476">
        <v>0.47</v>
      </c>
      <c r="E1476">
        <v>165.55</v>
      </c>
      <c r="F1476">
        <v>0</v>
      </c>
      <c r="G1476">
        <v>0.01</v>
      </c>
      <c r="H1476">
        <v>3522</v>
      </c>
      <c r="I1476">
        <v>63</v>
      </c>
    </row>
    <row r="1477" spans="1:9" x14ac:dyDescent="0.3">
      <c r="A1477" s="1">
        <v>46054</v>
      </c>
      <c r="B1477" t="s">
        <v>97</v>
      </c>
      <c r="C1477" t="s">
        <v>36</v>
      </c>
      <c r="D1477">
        <v>0.47</v>
      </c>
      <c r="E1477">
        <v>33.53</v>
      </c>
      <c r="F1477">
        <v>0</v>
      </c>
      <c r="G1477">
        <v>0</v>
      </c>
      <c r="H1477">
        <v>713</v>
      </c>
      <c r="I1477">
        <v>63</v>
      </c>
    </row>
    <row r="1478" spans="1:9" x14ac:dyDescent="0.3">
      <c r="A1478" s="1">
        <v>46054</v>
      </c>
      <c r="B1478" t="s">
        <v>87</v>
      </c>
      <c r="C1478" t="s">
        <v>36</v>
      </c>
      <c r="D1478">
        <v>0.46</v>
      </c>
      <c r="E1478">
        <v>109.71</v>
      </c>
      <c r="F1478">
        <v>0</v>
      </c>
      <c r="G1478">
        <v>0</v>
      </c>
      <c r="H1478">
        <v>2385</v>
      </c>
      <c r="I1478">
        <v>65</v>
      </c>
    </row>
    <row r="1479" spans="1:9" x14ac:dyDescent="0.3">
      <c r="A1479" s="1">
        <v>46054</v>
      </c>
      <c r="B1479" t="s">
        <v>113</v>
      </c>
      <c r="C1479" t="s">
        <v>36</v>
      </c>
      <c r="D1479">
        <v>0.39</v>
      </c>
      <c r="E1479">
        <v>35.08</v>
      </c>
      <c r="F1479">
        <v>0</v>
      </c>
      <c r="G1479">
        <v>0</v>
      </c>
      <c r="H1479">
        <v>899</v>
      </c>
      <c r="I1479">
        <v>66</v>
      </c>
    </row>
    <row r="1480" spans="1:9" x14ac:dyDescent="0.3">
      <c r="A1480" s="1">
        <v>46054</v>
      </c>
      <c r="B1480" t="s">
        <v>109</v>
      </c>
      <c r="C1480" t="s">
        <v>36</v>
      </c>
      <c r="D1480">
        <v>0.35</v>
      </c>
      <c r="E1480">
        <v>38.36</v>
      </c>
      <c r="F1480">
        <v>0</v>
      </c>
      <c r="G1480">
        <v>0</v>
      </c>
      <c r="H1480">
        <v>1096</v>
      </c>
      <c r="I1480">
        <v>67</v>
      </c>
    </row>
    <row r="1481" spans="1:9" x14ac:dyDescent="0.3">
      <c r="A1481" s="1">
        <v>46054</v>
      </c>
      <c r="B1481" t="s">
        <v>85</v>
      </c>
      <c r="C1481" t="s">
        <v>36</v>
      </c>
      <c r="D1481">
        <v>0.28999999999999998</v>
      </c>
      <c r="E1481">
        <v>101.76</v>
      </c>
      <c r="F1481">
        <v>0</v>
      </c>
      <c r="G1481">
        <v>0</v>
      </c>
      <c r="H1481">
        <v>3509</v>
      </c>
      <c r="I1481">
        <v>68</v>
      </c>
    </row>
    <row r="1482" spans="1:9" x14ac:dyDescent="0.3">
      <c r="A1482" s="1">
        <v>46054</v>
      </c>
      <c r="B1482" t="s">
        <v>89</v>
      </c>
      <c r="C1482" t="s">
        <v>36</v>
      </c>
      <c r="D1482">
        <v>0.26</v>
      </c>
      <c r="E1482">
        <v>89.73</v>
      </c>
      <c r="F1482">
        <v>0</v>
      </c>
      <c r="G1482">
        <v>0</v>
      </c>
      <c r="H1482">
        <v>3451</v>
      </c>
      <c r="I1482">
        <v>69</v>
      </c>
    </row>
    <row r="1483" spans="1:9" x14ac:dyDescent="0.3">
      <c r="A1483" s="1">
        <v>46054</v>
      </c>
      <c r="B1483" t="s">
        <v>88</v>
      </c>
      <c r="C1483" t="s">
        <v>36</v>
      </c>
      <c r="D1483">
        <v>0.26</v>
      </c>
      <c r="E1483">
        <v>63.38</v>
      </c>
      <c r="F1483">
        <v>0</v>
      </c>
      <c r="G1483">
        <v>0</v>
      </c>
      <c r="H1483">
        <v>2438</v>
      </c>
      <c r="I1483">
        <v>69</v>
      </c>
    </row>
    <row r="1484" spans="1:9" x14ac:dyDescent="0.3">
      <c r="A1484" s="1">
        <v>46054</v>
      </c>
      <c r="B1484" t="s">
        <v>93</v>
      </c>
      <c r="C1484" t="s">
        <v>36</v>
      </c>
      <c r="D1484">
        <v>0.19</v>
      </c>
      <c r="E1484">
        <v>94.62</v>
      </c>
      <c r="F1484">
        <v>0</v>
      </c>
      <c r="G1484">
        <v>0</v>
      </c>
      <c r="H1484">
        <v>4980</v>
      </c>
      <c r="I1484">
        <v>71</v>
      </c>
    </row>
    <row r="1485" spans="1:9" x14ac:dyDescent="0.3">
      <c r="A1485" s="1">
        <v>46054</v>
      </c>
      <c r="B1485" t="s">
        <v>117</v>
      </c>
      <c r="C1485" t="s">
        <v>36</v>
      </c>
      <c r="D1485">
        <v>0.19</v>
      </c>
      <c r="E1485">
        <v>30.31</v>
      </c>
      <c r="F1485">
        <v>0</v>
      </c>
      <c r="G1485">
        <v>0</v>
      </c>
      <c r="H1485">
        <v>1595</v>
      </c>
      <c r="I1485">
        <v>71</v>
      </c>
    </row>
    <row r="1486" spans="1:9" x14ac:dyDescent="0.3">
      <c r="A1486" s="1">
        <v>46054</v>
      </c>
      <c r="B1486" t="s">
        <v>127</v>
      </c>
      <c r="C1486" t="s">
        <v>36</v>
      </c>
      <c r="D1486">
        <v>0.19</v>
      </c>
      <c r="E1486">
        <v>23.54</v>
      </c>
      <c r="F1486">
        <v>0</v>
      </c>
      <c r="G1486">
        <v>0</v>
      </c>
      <c r="H1486">
        <v>1239</v>
      </c>
      <c r="I1486">
        <v>71</v>
      </c>
    </row>
    <row r="1487" spans="1:9" x14ac:dyDescent="0.3">
      <c r="A1487" s="1">
        <v>46054</v>
      </c>
      <c r="B1487" t="s">
        <v>99</v>
      </c>
      <c r="C1487" t="s">
        <v>36</v>
      </c>
      <c r="D1487">
        <v>0.19</v>
      </c>
      <c r="E1487">
        <v>6.55</v>
      </c>
      <c r="F1487">
        <v>0</v>
      </c>
      <c r="G1487">
        <v>0</v>
      </c>
      <c r="H1487">
        <v>345</v>
      </c>
      <c r="I1487">
        <v>71</v>
      </c>
    </row>
    <row r="1488" spans="1:9" x14ac:dyDescent="0.3">
      <c r="A1488" s="1">
        <v>46054</v>
      </c>
      <c r="B1488" t="s">
        <v>90</v>
      </c>
      <c r="C1488" t="s">
        <v>36</v>
      </c>
      <c r="D1488">
        <v>0.19</v>
      </c>
      <c r="E1488">
        <v>8.16</v>
      </c>
      <c r="F1488">
        <v>0</v>
      </c>
      <c r="G1488">
        <v>0</v>
      </c>
      <c r="H1488">
        <v>429</v>
      </c>
      <c r="I1488">
        <v>71</v>
      </c>
    </row>
    <row r="1489" spans="1:9" x14ac:dyDescent="0.3">
      <c r="A1489" s="1">
        <v>46054</v>
      </c>
      <c r="B1489" t="s">
        <v>123</v>
      </c>
      <c r="C1489" t="s">
        <v>36</v>
      </c>
      <c r="D1489">
        <v>0.14000000000000001</v>
      </c>
      <c r="E1489">
        <v>14.73</v>
      </c>
      <c r="F1489">
        <v>0</v>
      </c>
      <c r="G1489">
        <v>0</v>
      </c>
      <c r="H1489">
        <v>1052</v>
      </c>
      <c r="I1489">
        <v>76</v>
      </c>
    </row>
    <row r="1490" spans="1:9" x14ac:dyDescent="0.3">
      <c r="A1490" s="1">
        <v>46054</v>
      </c>
      <c r="B1490" t="s">
        <v>101</v>
      </c>
      <c r="C1490" t="s">
        <v>36</v>
      </c>
      <c r="D1490">
        <v>0.13</v>
      </c>
      <c r="E1490">
        <v>46.09</v>
      </c>
      <c r="F1490">
        <v>0</v>
      </c>
      <c r="G1490">
        <v>0</v>
      </c>
      <c r="H1490">
        <v>3545</v>
      </c>
      <c r="I1490">
        <v>77</v>
      </c>
    </row>
    <row r="1491" spans="1:9" x14ac:dyDescent="0.3">
      <c r="A1491" s="1">
        <v>46054</v>
      </c>
      <c r="B1491" t="s">
        <v>86</v>
      </c>
      <c r="C1491" t="s">
        <v>36</v>
      </c>
      <c r="D1491">
        <v>0.12</v>
      </c>
      <c r="E1491">
        <v>37.83</v>
      </c>
      <c r="F1491">
        <v>0</v>
      </c>
      <c r="G1491">
        <v>0</v>
      </c>
      <c r="H1491">
        <v>3153</v>
      </c>
      <c r="I1491">
        <v>78</v>
      </c>
    </row>
    <row r="1492" spans="1:9" x14ac:dyDescent="0.3">
      <c r="A1492" s="1">
        <v>46054</v>
      </c>
      <c r="B1492" t="s">
        <v>119</v>
      </c>
      <c r="C1492" t="s">
        <v>36</v>
      </c>
      <c r="D1492">
        <v>0.12</v>
      </c>
      <c r="E1492">
        <v>10.68</v>
      </c>
      <c r="F1492">
        <v>0</v>
      </c>
      <c r="G1492">
        <v>0</v>
      </c>
      <c r="H1492">
        <v>890</v>
      </c>
      <c r="I1492">
        <v>78</v>
      </c>
    </row>
    <row r="1493" spans="1:9" x14ac:dyDescent="0.3">
      <c r="A1493" s="1">
        <v>46054</v>
      </c>
      <c r="B1493" t="s">
        <v>96</v>
      </c>
      <c r="C1493" t="s">
        <v>36</v>
      </c>
      <c r="D1493">
        <v>0.1</v>
      </c>
      <c r="E1493">
        <v>39</v>
      </c>
      <c r="F1493">
        <v>0</v>
      </c>
      <c r="G1493">
        <v>0</v>
      </c>
      <c r="H1493">
        <v>3900</v>
      </c>
      <c r="I1493">
        <v>80</v>
      </c>
    </row>
    <row r="1494" spans="1:9" x14ac:dyDescent="0.3">
      <c r="A1494" s="1">
        <v>46054</v>
      </c>
      <c r="B1494" t="s">
        <v>95</v>
      </c>
      <c r="C1494" t="s">
        <v>36</v>
      </c>
      <c r="D1494">
        <v>0.08</v>
      </c>
      <c r="E1494">
        <v>28.59</v>
      </c>
      <c r="F1494">
        <v>0</v>
      </c>
      <c r="G1494">
        <v>0</v>
      </c>
      <c r="H1494">
        <v>3574</v>
      </c>
      <c r="I1494">
        <v>81</v>
      </c>
    </row>
    <row r="1495" spans="1:9" x14ac:dyDescent="0.3">
      <c r="A1495" s="1">
        <v>46054</v>
      </c>
      <c r="B1495" t="s">
        <v>110</v>
      </c>
      <c r="C1495" t="s">
        <v>36</v>
      </c>
      <c r="D1495">
        <v>0.08</v>
      </c>
      <c r="E1495">
        <v>7.5</v>
      </c>
      <c r="F1495">
        <v>0</v>
      </c>
      <c r="G1495">
        <v>0</v>
      </c>
      <c r="H1495">
        <v>938</v>
      </c>
      <c r="I1495">
        <v>81</v>
      </c>
    </row>
    <row r="1496" spans="1:9" x14ac:dyDescent="0.3">
      <c r="A1496" s="1">
        <v>46054</v>
      </c>
      <c r="B1496" t="s">
        <v>116</v>
      </c>
      <c r="C1496" t="s">
        <v>36</v>
      </c>
      <c r="D1496">
        <v>0.06</v>
      </c>
      <c r="E1496">
        <v>22.32</v>
      </c>
      <c r="F1496">
        <v>0</v>
      </c>
      <c r="G1496">
        <v>0</v>
      </c>
      <c r="H1496">
        <v>3720</v>
      </c>
      <c r="I1496">
        <v>83</v>
      </c>
    </row>
    <row r="1497" spans="1:9" x14ac:dyDescent="0.3">
      <c r="A1497" s="1">
        <v>46054</v>
      </c>
      <c r="B1497" t="s">
        <v>105</v>
      </c>
      <c r="C1497" t="s">
        <v>36</v>
      </c>
      <c r="D1497">
        <v>0.06</v>
      </c>
      <c r="E1497">
        <v>16.45</v>
      </c>
      <c r="F1497">
        <v>0</v>
      </c>
      <c r="G1497">
        <v>0</v>
      </c>
      <c r="H1497">
        <v>2742</v>
      </c>
      <c r="I1497">
        <v>83</v>
      </c>
    </row>
    <row r="1498" spans="1:9" x14ac:dyDescent="0.3">
      <c r="A1498" s="1">
        <v>46054</v>
      </c>
      <c r="B1498" t="s">
        <v>126</v>
      </c>
      <c r="C1498" t="s">
        <v>36</v>
      </c>
      <c r="D1498">
        <v>0.05</v>
      </c>
      <c r="E1498">
        <v>3.78</v>
      </c>
      <c r="F1498">
        <v>0</v>
      </c>
      <c r="G1498">
        <v>0</v>
      </c>
      <c r="H1498">
        <v>756</v>
      </c>
      <c r="I1498">
        <v>85</v>
      </c>
    </row>
    <row r="1499" spans="1:9" x14ac:dyDescent="0.3">
      <c r="A1499" s="1">
        <v>46054</v>
      </c>
      <c r="B1499" t="s">
        <v>125</v>
      </c>
      <c r="C1499" t="s">
        <v>36</v>
      </c>
      <c r="D1499">
        <v>0.05</v>
      </c>
      <c r="E1499">
        <v>2.96</v>
      </c>
      <c r="F1499">
        <v>0</v>
      </c>
      <c r="G1499">
        <v>0</v>
      </c>
      <c r="H1499">
        <v>592</v>
      </c>
      <c r="I1499">
        <v>85</v>
      </c>
    </row>
    <row r="1500" spans="1:9" x14ac:dyDescent="0.3">
      <c r="A1500" s="1">
        <v>46054</v>
      </c>
      <c r="B1500" t="s">
        <v>91</v>
      </c>
      <c r="C1500" t="s">
        <v>36</v>
      </c>
      <c r="D1500">
        <v>0.05</v>
      </c>
      <c r="E1500">
        <v>3.72</v>
      </c>
      <c r="F1500">
        <v>0</v>
      </c>
      <c r="G1500">
        <v>0</v>
      </c>
      <c r="H1500">
        <v>744</v>
      </c>
      <c r="I1500">
        <v>85</v>
      </c>
    </row>
    <row r="1501" spans="1:9" x14ac:dyDescent="0.3">
      <c r="A1501" s="1">
        <v>46054</v>
      </c>
      <c r="B1501" t="s">
        <v>118</v>
      </c>
      <c r="C1501" t="s">
        <v>36</v>
      </c>
      <c r="D1501">
        <v>0.05</v>
      </c>
      <c r="E1501">
        <v>11.21</v>
      </c>
      <c r="F1501">
        <v>0</v>
      </c>
      <c r="G1501">
        <v>0</v>
      </c>
      <c r="H1501">
        <v>2242</v>
      </c>
      <c r="I1501">
        <v>85</v>
      </c>
    </row>
    <row r="1502" spans="1:9" x14ac:dyDescent="0.3">
      <c r="A1502" s="1">
        <v>46054</v>
      </c>
      <c r="B1502" t="s">
        <v>128</v>
      </c>
      <c r="C1502" t="s">
        <v>36</v>
      </c>
      <c r="D1502">
        <v>0.04</v>
      </c>
      <c r="E1502">
        <v>8.3699999999999992</v>
      </c>
      <c r="F1502">
        <v>0</v>
      </c>
      <c r="G1502">
        <v>0</v>
      </c>
      <c r="H1502">
        <v>2093</v>
      </c>
      <c r="I1502">
        <v>89</v>
      </c>
    </row>
    <row r="1503" spans="1:9" x14ac:dyDescent="0.3">
      <c r="A1503" s="1">
        <v>46054</v>
      </c>
      <c r="B1503" t="s">
        <v>129</v>
      </c>
      <c r="C1503" t="s">
        <v>36</v>
      </c>
      <c r="D1503">
        <v>0.03</v>
      </c>
      <c r="E1503">
        <v>2.0099999999999998</v>
      </c>
      <c r="F1503">
        <v>0</v>
      </c>
      <c r="G1503">
        <v>0</v>
      </c>
      <c r="H1503">
        <v>670</v>
      </c>
      <c r="I1503">
        <v>90</v>
      </c>
    </row>
    <row r="1504" spans="1:9" x14ac:dyDescent="0.3">
      <c r="A1504" s="1">
        <v>46054</v>
      </c>
      <c r="B1504" t="s">
        <v>104</v>
      </c>
      <c r="C1504" t="s">
        <v>36</v>
      </c>
      <c r="D1504">
        <v>0.03</v>
      </c>
      <c r="E1504">
        <v>12.71</v>
      </c>
      <c r="F1504">
        <v>0</v>
      </c>
      <c r="G1504">
        <v>0</v>
      </c>
      <c r="H1504">
        <v>4237</v>
      </c>
      <c r="I1504">
        <v>90</v>
      </c>
    </row>
    <row r="1505" spans="1:9" x14ac:dyDescent="0.3">
      <c r="A1505" s="1">
        <v>46082</v>
      </c>
      <c r="B1505" t="s">
        <v>32</v>
      </c>
      <c r="C1505" t="s">
        <v>32</v>
      </c>
      <c r="D1505">
        <v>10503.81</v>
      </c>
      <c r="E1505">
        <v>1448286.63</v>
      </c>
      <c r="F1505">
        <v>46.39</v>
      </c>
      <c r="G1505">
        <v>49.05</v>
      </c>
      <c r="H1505">
        <v>1379</v>
      </c>
      <c r="I1505">
        <v>1</v>
      </c>
    </row>
    <row r="1506" spans="1:9" x14ac:dyDescent="0.3">
      <c r="A1506" s="1">
        <v>46082</v>
      </c>
      <c r="B1506" t="s">
        <v>33</v>
      </c>
      <c r="C1506" t="s">
        <v>33</v>
      </c>
      <c r="D1506">
        <v>7535.71</v>
      </c>
      <c r="E1506">
        <v>999480.47</v>
      </c>
      <c r="F1506">
        <v>33.28</v>
      </c>
      <c r="G1506">
        <v>33.85</v>
      </c>
      <c r="H1506">
        <v>1326</v>
      </c>
      <c r="I1506">
        <v>2</v>
      </c>
    </row>
    <row r="1507" spans="1:9" x14ac:dyDescent="0.3">
      <c r="A1507" s="1">
        <v>46082</v>
      </c>
      <c r="B1507" t="s">
        <v>34</v>
      </c>
      <c r="C1507" t="s">
        <v>34</v>
      </c>
      <c r="D1507">
        <v>1770</v>
      </c>
      <c r="E1507">
        <v>192610.34</v>
      </c>
      <c r="F1507">
        <v>7.82</v>
      </c>
      <c r="G1507">
        <v>6.52</v>
      </c>
      <c r="H1507">
        <v>1088</v>
      </c>
      <c r="I1507">
        <v>3</v>
      </c>
    </row>
    <row r="1508" spans="1:9" x14ac:dyDescent="0.3">
      <c r="A1508" s="1">
        <v>46082</v>
      </c>
      <c r="B1508" t="s">
        <v>37</v>
      </c>
      <c r="C1508" t="s">
        <v>36</v>
      </c>
      <c r="D1508">
        <v>790.34</v>
      </c>
      <c r="E1508">
        <v>43044.76</v>
      </c>
      <c r="F1508">
        <v>3.49</v>
      </c>
      <c r="G1508">
        <v>1.46</v>
      </c>
      <c r="H1508">
        <v>545</v>
      </c>
      <c r="I1508">
        <v>4</v>
      </c>
    </row>
    <row r="1509" spans="1:9" x14ac:dyDescent="0.3">
      <c r="A1509" s="1">
        <v>46082</v>
      </c>
      <c r="B1509" t="s">
        <v>47</v>
      </c>
      <c r="C1509" t="s">
        <v>36</v>
      </c>
      <c r="D1509">
        <v>341.24</v>
      </c>
      <c r="E1509">
        <v>14788.83</v>
      </c>
      <c r="F1509">
        <v>1.51</v>
      </c>
      <c r="G1509">
        <v>0.5</v>
      </c>
      <c r="H1509">
        <v>433</v>
      </c>
      <c r="I1509">
        <v>5</v>
      </c>
    </row>
    <row r="1510" spans="1:9" x14ac:dyDescent="0.3">
      <c r="A1510" s="1">
        <v>46082</v>
      </c>
      <c r="B1510" t="s">
        <v>46</v>
      </c>
      <c r="C1510" t="s">
        <v>36</v>
      </c>
      <c r="D1510">
        <v>202.44</v>
      </c>
      <c r="E1510">
        <v>24718.799999999999</v>
      </c>
      <c r="F1510">
        <v>0.89</v>
      </c>
      <c r="G1510">
        <v>0.84</v>
      </c>
      <c r="H1510">
        <v>1221</v>
      </c>
      <c r="I1510">
        <v>6</v>
      </c>
    </row>
    <row r="1511" spans="1:9" x14ac:dyDescent="0.3">
      <c r="A1511" s="1">
        <v>46082</v>
      </c>
      <c r="B1511" t="s">
        <v>40</v>
      </c>
      <c r="C1511" t="s">
        <v>36</v>
      </c>
      <c r="D1511">
        <v>168.6</v>
      </c>
      <c r="E1511">
        <v>2250.14</v>
      </c>
      <c r="F1511">
        <v>0.74</v>
      </c>
      <c r="G1511">
        <v>0.08</v>
      </c>
      <c r="H1511">
        <v>133</v>
      </c>
      <c r="I1511">
        <v>7</v>
      </c>
    </row>
    <row r="1512" spans="1:9" x14ac:dyDescent="0.3">
      <c r="A1512" s="1">
        <v>46082</v>
      </c>
      <c r="B1512" t="s">
        <v>35</v>
      </c>
      <c r="C1512" t="s">
        <v>36</v>
      </c>
      <c r="D1512">
        <v>163.19999999999999</v>
      </c>
      <c r="E1512">
        <v>62029.55</v>
      </c>
      <c r="F1512">
        <v>0.72</v>
      </c>
      <c r="G1512">
        <v>2.1</v>
      </c>
      <c r="H1512">
        <v>3801</v>
      </c>
      <c r="I1512">
        <v>8</v>
      </c>
    </row>
    <row r="1513" spans="1:9" x14ac:dyDescent="0.3">
      <c r="A1513" s="1">
        <v>46082</v>
      </c>
      <c r="B1513" t="s">
        <v>38</v>
      </c>
      <c r="C1513" t="s">
        <v>36</v>
      </c>
      <c r="D1513">
        <v>135.4</v>
      </c>
      <c r="E1513">
        <v>13180.82</v>
      </c>
      <c r="F1513">
        <v>0.6</v>
      </c>
      <c r="G1513">
        <v>0.45</v>
      </c>
      <c r="H1513">
        <v>973</v>
      </c>
      <c r="I1513">
        <v>9</v>
      </c>
    </row>
    <row r="1514" spans="1:9" x14ac:dyDescent="0.3">
      <c r="A1514" s="1">
        <v>46082</v>
      </c>
      <c r="B1514" t="s">
        <v>42</v>
      </c>
      <c r="C1514" t="s">
        <v>36</v>
      </c>
      <c r="D1514">
        <v>130.74</v>
      </c>
      <c r="E1514">
        <v>9917.41</v>
      </c>
      <c r="F1514">
        <v>0.57999999999999996</v>
      </c>
      <c r="G1514">
        <v>0.34</v>
      </c>
      <c r="H1514">
        <v>759</v>
      </c>
      <c r="I1514">
        <v>10</v>
      </c>
    </row>
    <row r="1515" spans="1:9" x14ac:dyDescent="0.3">
      <c r="A1515" s="1">
        <v>46082</v>
      </c>
      <c r="B1515" t="s">
        <v>43</v>
      </c>
      <c r="C1515" t="s">
        <v>36</v>
      </c>
      <c r="D1515">
        <v>114.66</v>
      </c>
      <c r="E1515">
        <v>13890.06</v>
      </c>
      <c r="F1515">
        <v>0.51</v>
      </c>
      <c r="G1515">
        <v>0.47</v>
      </c>
      <c r="H1515">
        <v>1211</v>
      </c>
      <c r="I1515">
        <v>11</v>
      </c>
    </row>
    <row r="1516" spans="1:9" x14ac:dyDescent="0.3">
      <c r="A1516" s="1">
        <v>46082</v>
      </c>
      <c r="B1516" t="s">
        <v>39</v>
      </c>
      <c r="C1516" t="s">
        <v>36</v>
      </c>
      <c r="D1516">
        <v>87.58</v>
      </c>
      <c r="E1516">
        <v>10534.95</v>
      </c>
      <c r="F1516">
        <v>0.39</v>
      </c>
      <c r="G1516">
        <v>0.36</v>
      </c>
      <c r="H1516">
        <v>1203</v>
      </c>
      <c r="I1516">
        <v>12</v>
      </c>
    </row>
    <row r="1517" spans="1:9" x14ac:dyDescent="0.3">
      <c r="A1517" s="1">
        <v>46082</v>
      </c>
      <c r="B1517" t="s">
        <v>49</v>
      </c>
      <c r="C1517" t="s">
        <v>36</v>
      </c>
      <c r="D1517">
        <v>78.739999999999995</v>
      </c>
      <c r="E1517">
        <v>9239.68</v>
      </c>
      <c r="F1517">
        <v>0.35</v>
      </c>
      <c r="G1517">
        <v>0.31</v>
      </c>
      <c r="H1517">
        <v>1173</v>
      </c>
      <c r="I1517">
        <v>13</v>
      </c>
    </row>
    <row r="1518" spans="1:9" x14ac:dyDescent="0.3">
      <c r="A1518" s="1">
        <v>46082</v>
      </c>
      <c r="B1518" t="s">
        <v>44</v>
      </c>
      <c r="C1518" t="s">
        <v>36</v>
      </c>
      <c r="D1518">
        <v>76.89</v>
      </c>
      <c r="E1518">
        <v>16702.59</v>
      </c>
      <c r="F1518">
        <v>0.34</v>
      </c>
      <c r="G1518">
        <v>0.56999999999999995</v>
      </c>
      <c r="H1518">
        <v>2172</v>
      </c>
      <c r="I1518">
        <v>14</v>
      </c>
    </row>
    <row r="1519" spans="1:9" x14ac:dyDescent="0.3">
      <c r="A1519" s="1">
        <v>46082</v>
      </c>
      <c r="B1519" t="s">
        <v>53</v>
      </c>
      <c r="C1519" t="s">
        <v>36</v>
      </c>
      <c r="D1519">
        <v>50.24</v>
      </c>
      <c r="E1519">
        <v>4795.55</v>
      </c>
      <c r="F1519">
        <v>0.22</v>
      </c>
      <c r="G1519">
        <v>0.16</v>
      </c>
      <c r="H1519">
        <v>955</v>
      </c>
      <c r="I1519">
        <v>15</v>
      </c>
    </row>
    <row r="1520" spans="1:9" x14ac:dyDescent="0.3">
      <c r="A1520" s="1">
        <v>46082</v>
      </c>
      <c r="B1520" t="s">
        <v>41</v>
      </c>
      <c r="C1520" t="s">
        <v>36</v>
      </c>
      <c r="D1520">
        <v>46.71</v>
      </c>
      <c r="E1520">
        <v>21360.03</v>
      </c>
      <c r="F1520">
        <v>0.21</v>
      </c>
      <c r="G1520">
        <v>0.72</v>
      </c>
      <c r="H1520">
        <v>4573</v>
      </c>
      <c r="I1520">
        <v>16</v>
      </c>
    </row>
    <row r="1521" spans="1:9" x14ac:dyDescent="0.3">
      <c r="A1521" s="1">
        <v>46082</v>
      </c>
      <c r="B1521" t="s">
        <v>55</v>
      </c>
      <c r="C1521" t="s">
        <v>36</v>
      </c>
      <c r="D1521">
        <v>45.7</v>
      </c>
      <c r="E1521">
        <v>3628.73</v>
      </c>
      <c r="F1521">
        <v>0.2</v>
      </c>
      <c r="G1521">
        <v>0.12</v>
      </c>
      <c r="H1521">
        <v>794</v>
      </c>
      <c r="I1521">
        <v>17</v>
      </c>
    </row>
    <row r="1522" spans="1:9" x14ac:dyDescent="0.3">
      <c r="A1522" s="1">
        <v>46082</v>
      </c>
      <c r="B1522" t="s">
        <v>45</v>
      </c>
      <c r="C1522" t="s">
        <v>36</v>
      </c>
      <c r="D1522">
        <v>43.29</v>
      </c>
      <c r="E1522">
        <v>7539.4</v>
      </c>
      <c r="F1522">
        <v>0.19</v>
      </c>
      <c r="G1522">
        <v>0.26</v>
      </c>
      <c r="H1522">
        <v>1742</v>
      </c>
      <c r="I1522">
        <v>18</v>
      </c>
    </row>
    <row r="1523" spans="1:9" x14ac:dyDescent="0.3">
      <c r="A1523" s="1">
        <v>46082</v>
      </c>
      <c r="B1523" t="s">
        <v>57</v>
      </c>
      <c r="C1523" t="s">
        <v>36</v>
      </c>
      <c r="D1523">
        <v>19.510000000000002</v>
      </c>
      <c r="E1523">
        <v>2107.0700000000002</v>
      </c>
      <c r="F1523">
        <v>0.09</v>
      </c>
      <c r="G1523">
        <v>7.0000000000000007E-2</v>
      </c>
      <c r="H1523">
        <v>1080</v>
      </c>
      <c r="I1523">
        <v>19</v>
      </c>
    </row>
    <row r="1524" spans="1:9" x14ac:dyDescent="0.3">
      <c r="A1524" s="1">
        <v>46082</v>
      </c>
      <c r="B1524" t="s">
        <v>48</v>
      </c>
      <c r="C1524" t="s">
        <v>36</v>
      </c>
      <c r="D1524">
        <v>18.79</v>
      </c>
      <c r="E1524">
        <v>1618.22</v>
      </c>
      <c r="F1524">
        <v>0.08</v>
      </c>
      <c r="G1524">
        <v>0.05</v>
      </c>
      <c r="H1524">
        <v>861</v>
      </c>
      <c r="I1524">
        <v>20</v>
      </c>
    </row>
    <row r="1525" spans="1:9" x14ac:dyDescent="0.3">
      <c r="A1525" s="1">
        <v>46082</v>
      </c>
      <c r="B1525" t="s">
        <v>54</v>
      </c>
      <c r="C1525" t="s">
        <v>36</v>
      </c>
      <c r="D1525">
        <v>18.16</v>
      </c>
      <c r="E1525">
        <v>5471.02</v>
      </c>
      <c r="F1525">
        <v>0.08</v>
      </c>
      <c r="G1525">
        <v>0.19</v>
      </c>
      <c r="H1525">
        <v>3013</v>
      </c>
      <c r="I1525">
        <v>21</v>
      </c>
    </row>
    <row r="1526" spans="1:9" x14ac:dyDescent="0.3">
      <c r="A1526" s="1">
        <v>46082</v>
      </c>
      <c r="B1526" t="s">
        <v>50</v>
      </c>
      <c r="C1526" t="s">
        <v>36</v>
      </c>
      <c r="D1526">
        <v>16.399999999999999</v>
      </c>
      <c r="E1526">
        <v>12851.64</v>
      </c>
      <c r="F1526">
        <v>7.0000000000000007E-2</v>
      </c>
      <c r="G1526">
        <v>0.44</v>
      </c>
      <c r="H1526">
        <v>7836</v>
      </c>
      <c r="I1526">
        <v>22</v>
      </c>
    </row>
    <row r="1527" spans="1:9" x14ac:dyDescent="0.3">
      <c r="A1527" s="1">
        <v>46082</v>
      </c>
      <c r="B1527" t="s">
        <v>52</v>
      </c>
      <c r="C1527" t="s">
        <v>36</v>
      </c>
      <c r="D1527">
        <v>13.67</v>
      </c>
      <c r="E1527">
        <v>2879.05</v>
      </c>
      <c r="F1527">
        <v>0.06</v>
      </c>
      <c r="G1527">
        <v>0.1</v>
      </c>
      <c r="H1527">
        <v>2106</v>
      </c>
      <c r="I1527">
        <v>23</v>
      </c>
    </row>
    <row r="1528" spans="1:9" x14ac:dyDescent="0.3">
      <c r="A1528" s="1">
        <v>46082</v>
      </c>
      <c r="B1528" t="s">
        <v>67</v>
      </c>
      <c r="C1528" t="s">
        <v>36</v>
      </c>
      <c r="D1528">
        <v>11.39</v>
      </c>
      <c r="E1528">
        <v>4560.53</v>
      </c>
      <c r="F1528">
        <v>0.05</v>
      </c>
      <c r="G1528">
        <v>0.15</v>
      </c>
      <c r="H1528">
        <v>4004</v>
      </c>
      <c r="I1528">
        <v>24</v>
      </c>
    </row>
    <row r="1529" spans="1:9" x14ac:dyDescent="0.3">
      <c r="A1529" s="1">
        <v>46082</v>
      </c>
      <c r="B1529" t="s">
        <v>56</v>
      </c>
      <c r="C1529" t="s">
        <v>36</v>
      </c>
      <c r="D1529">
        <v>11</v>
      </c>
      <c r="E1529">
        <v>743.38</v>
      </c>
      <c r="F1529">
        <v>0.05</v>
      </c>
      <c r="G1529">
        <v>0.03</v>
      </c>
      <c r="H1529">
        <v>676</v>
      </c>
      <c r="I1529">
        <v>25</v>
      </c>
    </row>
    <row r="1530" spans="1:9" x14ac:dyDescent="0.3">
      <c r="A1530" s="1">
        <v>46082</v>
      </c>
      <c r="B1530" t="s">
        <v>62</v>
      </c>
      <c r="C1530" t="s">
        <v>36</v>
      </c>
      <c r="D1530">
        <v>7.77</v>
      </c>
      <c r="E1530">
        <v>509.61</v>
      </c>
      <c r="F1530">
        <v>0.03</v>
      </c>
      <c r="G1530">
        <v>0.02</v>
      </c>
      <c r="H1530">
        <v>656</v>
      </c>
      <c r="I1530">
        <v>26</v>
      </c>
    </row>
    <row r="1531" spans="1:9" x14ac:dyDescent="0.3">
      <c r="A1531" s="1">
        <v>46082</v>
      </c>
      <c r="B1531" t="s">
        <v>58</v>
      </c>
      <c r="C1531" t="s">
        <v>36</v>
      </c>
      <c r="D1531">
        <v>7.43</v>
      </c>
      <c r="E1531">
        <v>2175.75</v>
      </c>
      <c r="F1531">
        <v>0.03</v>
      </c>
      <c r="G1531">
        <v>7.0000000000000007E-2</v>
      </c>
      <c r="H1531">
        <v>2928</v>
      </c>
      <c r="I1531">
        <v>27</v>
      </c>
    </row>
    <row r="1532" spans="1:9" x14ac:dyDescent="0.3">
      <c r="A1532" s="1">
        <v>46082</v>
      </c>
      <c r="B1532" t="s">
        <v>65</v>
      </c>
      <c r="C1532" t="s">
        <v>36</v>
      </c>
      <c r="D1532">
        <v>7.38</v>
      </c>
      <c r="E1532">
        <v>571.1</v>
      </c>
      <c r="F1532">
        <v>0.03</v>
      </c>
      <c r="G1532">
        <v>0.02</v>
      </c>
      <c r="H1532">
        <v>774</v>
      </c>
      <c r="I1532">
        <v>28</v>
      </c>
    </row>
    <row r="1533" spans="1:9" x14ac:dyDescent="0.3">
      <c r="A1533" s="1">
        <v>46082</v>
      </c>
      <c r="B1533" t="s">
        <v>59</v>
      </c>
      <c r="C1533" t="s">
        <v>36</v>
      </c>
      <c r="D1533">
        <v>5.7</v>
      </c>
      <c r="E1533">
        <v>944.9</v>
      </c>
      <c r="F1533">
        <v>0.03</v>
      </c>
      <c r="G1533">
        <v>0.03</v>
      </c>
      <c r="H1533">
        <v>1658</v>
      </c>
      <c r="I1533">
        <v>29</v>
      </c>
    </row>
    <row r="1534" spans="1:9" x14ac:dyDescent="0.3">
      <c r="A1534" s="1">
        <v>46082</v>
      </c>
      <c r="B1534" t="s">
        <v>60</v>
      </c>
      <c r="C1534" t="s">
        <v>36</v>
      </c>
      <c r="D1534">
        <v>5.08</v>
      </c>
      <c r="E1534">
        <v>875.42</v>
      </c>
      <c r="F1534">
        <v>0.02</v>
      </c>
      <c r="G1534">
        <v>0.03</v>
      </c>
      <c r="H1534">
        <v>1723</v>
      </c>
      <c r="I1534">
        <v>30</v>
      </c>
    </row>
    <row r="1535" spans="1:9" x14ac:dyDescent="0.3">
      <c r="A1535" s="1">
        <v>46082</v>
      </c>
      <c r="B1535" t="s">
        <v>115</v>
      </c>
      <c r="C1535" t="s">
        <v>36</v>
      </c>
      <c r="D1535">
        <v>4.0199999999999996</v>
      </c>
      <c r="E1535">
        <v>1328.44</v>
      </c>
      <c r="F1535">
        <v>0.02</v>
      </c>
      <c r="G1535">
        <v>0.04</v>
      </c>
      <c r="H1535">
        <v>3305</v>
      </c>
      <c r="I1535">
        <v>31</v>
      </c>
    </row>
    <row r="1536" spans="1:9" x14ac:dyDescent="0.3">
      <c r="A1536" s="1">
        <v>46082</v>
      </c>
      <c r="B1536" t="s">
        <v>112</v>
      </c>
      <c r="C1536" t="s">
        <v>36</v>
      </c>
      <c r="D1536">
        <v>3.82</v>
      </c>
      <c r="E1536">
        <v>244.73</v>
      </c>
      <c r="F1536">
        <v>0.02</v>
      </c>
      <c r="G1536">
        <v>0.01</v>
      </c>
      <c r="H1536">
        <v>641</v>
      </c>
      <c r="I1536">
        <v>32</v>
      </c>
    </row>
    <row r="1537" spans="1:9" x14ac:dyDescent="0.3">
      <c r="A1537" s="1">
        <v>46082</v>
      </c>
      <c r="B1537" t="s">
        <v>122</v>
      </c>
      <c r="C1537" t="s">
        <v>36</v>
      </c>
      <c r="D1537">
        <v>3.68</v>
      </c>
      <c r="E1537">
        <v>179.15</v>
      </c>
      <c r="F1537">
        <v>0.02</v>
      </c>
      <c r="G1537">
        <v>0.01</v>
      </c>
      <c r="H1537">
        <v>487</v>
      </c>
      <c r="I1537">
        <v>33</v>
      </c>
    </row>
    <row r="1538" spans="1:9" x14ac:dyDescent="0.3">
      <c r="A1538" s="1">
        <v>46082</v>
      </c>
      <c r="B1538" t="s">
        <v>61</v>
      </c>
      <c r="C1538" t="s">
        <v>36</v>
      </c>
      <c r="D1538">
        <v>3.65</v>
      </c>
      <c r="E1538">
        <v>1041.6400000000001</v>
      </c>
      <c r="F1538">
        <v>0.02</v>
      </c>
      <c r="G1538">
        <v>0.04</v>
      </c>
      <c r="H1538">
        <v>2854</v>
      </c>
      <c r="I1538">
        <v>34</v>
      </c>
    </row>
    <row r="1539" spans="1:9" x14ac:dyDescent="0.3">
      <c r="A1539" s="1">
        <v>46082</v>
      </c>
      <c r="B1539" t="s">
        <v>71</v>
      </c>
      <c r="C1539" t="s">
        <v>36</v>
      </c>
      <c r="D1539">
        <v>3.08</v>
      </c>
      <c r="E1539">
        <v>489.39</v>
      </c>
      <c r="F1539">
        <v>0.01</v>
      </c>
      <c r="G1539">
        <v>0.02</v>
      </c>
      <c r="H1539">
        <v>1589</v>
      </c>
      <c r="I1539">
        <v>35</v>
      </c>
    </row>
    <row r="1540" spans="1:9" x14ac:dyDescent="0.3">
      <c r="A1540" s="1">
        <v>46082</v>
      </c>
      <c r="B1540" t="s">
        <v>82</v>
      </c>
      <c r="C1540" t="s">
        <v>36</v>
      </c>
      <c r="D1540">
        <v>2.79</v>
      </c>
      <c r="E1540">
        <v>500.02</v>
      </c>
      <c r="F1540">
        <v>0.01</v>
      </c>
      <c r="G1540">
        <v>0.02</v>
      </c>
      <c r="H1540">
        <v>1792</v>
      </c>
      <c r="I1540">
        <v>36</v>
      </c>
    </row>
    <row r="1541" spans="1:9" x14ac:dyDescent="0.3">
      <c r="A1541" s="1">
        <v>46082</v>
      </c>
      <c r="B1541" t="s">
        <v>83</v>
      </c>
      <c r="C1541" t="s">
        <v>36</v>
      </c>
      <c r="D1541">
        <v>2.78</v>
      </c>
      <c r="E1541">
        <v>13.52</v>
      </c>
      <c r="F1541">
        <v>0.01</v>
      </c>
      <c r="G1541">
        <v>0</v>
      </c>
      <c r="H1541">
        <v>49</v>
      </c>
      <c r="I1541">
        <v>37</v>
      </c>
    </row>
    <row r="1542" spans="1:9" x14ac:dyDescent="0.3">
      <c r="A1542" s="1">
        <v>46082</v>
      </c>
      <c r="B1542" t="s">
        <v>51</v>
      </c>
      <c r="C1542" t="s">
        <v>36</v>
      </c>
      <c r="D1542">
        <v>2.69</v>
      </c>
      <c r="E1542">
        <v>124.89</v>
      </c>
      <c r="F1542">
        <v>0.01</v>
      </c>
      <c r="G1542">
        <v>0</v>
      </c>
      <c r="H1542">
        <v>464</v>
      </c>
      <c r="I1542">
        <v>38</v>
      </c>
    </row>
    <row r="1543" spans="1:9" x14ac:dyDescent="0.3">
      <c r="A1543" s="1">
        <v>46082</v>
      </c>
      <c r="B1543" t="s">
        <v>98</v>
      </c>
      <c r="C1543" t="s">
        <v>36</v>
      </c>
      <c r="D1543">
        <v>2.62</v>
      </c>
      <c r="E1543">
        <v>247.83</v>
      </c>
      <c r="F1543">
        <v>0.01</v>
      </c>
      <c r="G1543">
        <v>0.01</v>
      </c>
      <c r="H1543">
        <v>946</v>
      </c>
      <c r="I1543">
        <v>39</v>
      </c>
    </row>
    <row r="1544" spans="1:9" x14ac:dyDescent="0.3">
      <c r="A1544" s="1">
        <v>46082</v>
      </c>
      <c r="B1544" t="s">
        <v>68</v>
      </c>
      <c r="C1544" t="s">
        <v>36</v>
      </c>
      <c r="D1544">
        <v>1.94</v>
      </c>
      <c r="E1544">
        <v>101.77</v>
      </c>
      <c r="F1544">
        <v>0.01</v>
      </c>
      <c r="G1544">
        <v>0</v>
      </c>
      <c r="H1544">
        <v>525</v>
      </c>
      <c r="I1544">
        <v>40</v>
      </c>
    </row>
    <row r="1545" spans="1:9" x14ac:dyDescent="0.3">
      <c r="A1545" s="1">
        <v>46082</v>
      </c>
      <c r="B1545" t="s">
        <v>108</v>
      </c>
      <c r="C1545" t="s">
        <v>36</v>
      </c>
      <c r="D1545">
        <v>1.92</v>
      </c>
      <c r="E1545">
        <v>330.74</v>
      </c>
      <c r="F1545">
        <v>0.01</v>
      </c>
      <c r="G1545">
        <v>0.01</v>
      </c>
      <c r="H1545">
        <v>1723</v>
      </c>
      <c r="I1545">
        <v>41</v>
      </c>
    </row>
    <row r="1546" spans="1:9" x14ac:dyDescent="0.3">
      <c r="A1546" s="1">
        <v>46082</v>
      </c>
      <c r="B1546" t="s">
        <v>64</v>
      </c>
      <c r="C1546" t="s">
        <v>36</v>
      </c>
      <c r="D1546">
        <v>1.69</v>
      </c>
      <c r="E1546">
        <v>511.01</v>
      </c>
      <c r="F1546">
        <v>0.01</v>
      </c>
      <c r="G1546">
        <v>0.02</v>
      </c>
      <c r="H1546">
        <v>3024</v>
      </c>
      <c r="I1546">
        <v>42</v>
      </c>
    </row>
    <row r="1547" spans="1:9" x14ac:dyDescent="0.3">
      <c r="A1547" s="1">
        <v>46082</v>
      </c>
      <c r="B1547" t="s">
        <v>72</v>
      </c>
      <c r="C1547" t="s">
        <v>36</v>
      </c>
      <c r="D1547">
        <v>1.66</v>
      </c>
      <c r="E1547">
        <v>28.46</v>
      </c>
      <c r="F1547">
        <v>0.01</v>
      </c>
      <c r="G1547">
        <v>0</v>
      </c>
      <c r="H1547">
        <v>171</v>
      </c>
      <c r="I1547">
        <v>43</v>
      </c>
    </row>
    <row r="1548" spans="1:9" x14ac:dyDescent="0.3">
      <c r="A1548" s="1">
        <v>46082</v>
      </c>
      <c r="B1548" t="s">
        <v>69</v>
      </c>
      <c r="C1548" t="s">
        <v>36</v>
      </c>
      <c r="D1548">
        <v>1.65</v>
      </c>
      <c r="E1548">
        <v>510.66</v>
      </c>
      <c r="F1548">
        <v>0.01</v>
      </c>
      <c r="G1548">
        <v>0.02</v>
      </c>
      <c r="H1548">
        <v>3095</v>
      </c>
      <c r="I1548">
        <v>44</v>
      </c>
    </row>
    <row r="1549" spans="1:9" x14ac:dyDescent="0.3">
      <c r="A1549" s="1">
        <v>46082</v>
      </c>
      <c r="B1549" t="s">
        <v>63</v>
      </c>
      <c r="C1549" t="s">
        <v>36</v>
      </c>
      <c r="D1549">
        <v>1.61</v>
      </c>
      <c r="E1549">
        <v>442.44</v>
      </c>
      <c r="F1549">
        <v>0.01</v>
      </c>
      <c r="G1549">
        <v>0.01</v>
      </c>
      <c r="H1549">
        <v>2748</v>
      </c>
      <c r="I1549">
        <v>45</v>
      </c>
    </row>
    <row r="1550" spans="1:9" x14ac:dyDescent="0.3">
      <c r="A1550" s="1">
        <v>46082</v>
      </c>
      <c r="B1550" t="s">
        <v>76</v>
      </c>
      <c r="C1550" t="s">
        <v>36</v>
      </c>
      <c r="D1550">
        <v>1.55</v>
      </c>
      <c r="E1550">
        <v>186.24</v>
      </c>
      <c r="F1550">
        <v>0.01</v>
      </c>
      <c r="G1550">
        <v>0.01</v>
      </c>
      <c r="H1550">
        <v>1202</v>
      </c>
      <c r="I1550">
        <v>46</v>
      </c>
    </row>
    <row r="1551" spans="1:9" x14ac:dyDescent="0.3">
      <c r="A1551" s="1">
        <v>46082</v>
      </c>
      <c r="B1551" t="s">
        <v>79</v>
      </c>
      <c r="C1551" t="s">
        <v>36</v>
      </c>
      <c r="D1551">
        <v>1.49</v>
      </c>
      <c r="E1551">
        <v>539.13</v>
      </c>
      <c r="F1551">
        <v>0.01</v>
      </c>
      <c r="G1551">
        <v>0.02</v>
      </c>
      <c r="H1551">
        <v>3618</v>
      </c>
      <c r="I1551">
        <v>47</v>
      </c>
    </row>
    <row r="1552" spans="1:9" x14ac:dyDescent="0.3">
      <c r="A1552" s="1">
        <v>46082</v>
      </c>
      <c r="B1552" t="s">
        <v>66</v>
      </c>
      <c r="C1552" t="s">
        <v>36</v>
      </c>
      <c r="D1552">
        <v>1.34</v>
      </c>
      <c r="E1552">
        <v>25.98</v>
      </c>
      <c r="F1552">
        <v>0.01</v>
      </c>
      <c r="G1552">
        <v>0</v>
      </c>
      <c r="H1552">
        <v>194</v>
      </c>
      <c r="I1552">
        <v>48</v>
      </c>
    </row>
    <row r="1553" spans="1:9" x14ac:dyDescent="0.3">
      <c r="A1553" s="1">
        <v>46082</v>
      </c>
      <c r="B1553" t="s">
        <v>80</v>
      </c>
      <c r="C1553" t="s">
        <v>36</v>
      </c>
      <c r="D1553">
        <v>1.21</v>
      </c>
      <c r="E1553">
        <v>208.26</v>
      </c>
      <c r="F1553">
        <v>0.01</v>
      </c>
      <c r="G1553">
        <v>0.01</v>
      </c>
      <c r="H1553">
        <v>1721</v>
      </c>
      <c r="I1553">
        <v>49</v>
      </c>
    </row>
    <row r="1554" spans="1:9" x14ac:dyDescent="0.3">
      <c r="A1554" s="1">
        <v>46082</v>
      </c>
      <c r="B1554" t="s">
        <v>103</v>
      </c>
      <c r="C1554" t="s">
        <v>36</v>
      </c>
      <c r="D1554">
        <v>1.21</v>
      </c>
      <c r="E1554">
        <v>113.58</v>
      </c>
      <c r="F1554">
        <v>0.01</v>
      </c>
      <c r="G1554">
        <v>0</v>
      </c>
      <c r="H1554">
        <v>939</v>
      </c>
      <c r="I1554">
        <v>49</v>
      </c>
    </row>
    <row r="1555" spans="1:9" x14ac:dyDescent="0.3">
      <c r="A1555" s="1">
        <v>46082</v>
      </c>
      <c r="B1555" t="s">
        <v>73</v>
      </c>
      <c r="C1555" t="s">
        <v>36</v>
      </c>
      <c r="D1555">
        <v>1</v>
      </c>
      <c r="E1555">
        <v>302.43</v>
      </c>
      <c r="F1555">
        <v>0</v>
      </c>
      <c r="G1555">
        <v>0.01</v>
      </c>
      <c r="H1555">
        <v>3024</v>
      </c>
      <c r="I1555">
        <v>51</v>
      </c>
    </row>
    <row r="1556" spans="1:9" x14ac:dyDescent="0.3">
      <c r="A1556" s="1">
        <v>46082</v>
      </c>
      <c r="B1556" t="s">
        <v>78</v>
      </c>
      <c r="C1556" t="s">
        <v>36</v>
      </c>
      <c r="D1556">
        <v>0.97</v>
      </c>
      <c r="E1556">
        <v>316.74</v>
      </c>
      <c r="F1556">
        <v>0</v>
      </c>
      <c r="G1556">
        <v>0.01</v>
      </c>
      <c r="H1556">
        <v>3265</v>
      </c>
      <c r="I1556">
        <v>52</v>
      </c>
    </row>
    <row r="1557" spans="1:9" x14ac:dyDescent="0.3">
      <c r="A1557" s="1">
        <v>46082</v>
      </c>
      <c r="B1557" t="s">
        <v>74</v>
      </c>
      <c r="C1557" t="s">
        <v>36</v>
      </c>
      <c r="D1557">
        <v>0.91</v>
      </c>
      <c r="E1557">
        <v>303.5</v>
      </c>
      <c r="F1557">
        <v>0</v>
      </c>
      <c r="G1557">
        <v>0.01</v>
      </c>
      <c r="H1557">
        <v>3335</v>
      </c>
      <c r="I1557">
        <v>53</v>
      </c>
    </row>
    <row r="1558" spans="1:9" x14ac:dyDescent="0.3">
      <c r="A1558" s="1">
        <v>46082</v>
      </c>
      <c r="B1558" t="s">
        <v>121</v>
      </c>
      <c r="C1558" t="s">
        <v>36</v>
      </c>
      <c r="D1558">
        <v>0.82</v>
      </c>
      <c r="E1558">
        <v>24.98</v>
      </c>
      <c r="F1558">
        <v>0</v>
      </c>
      <c r="G1558">
        <v>0</v>
      </c>
      <c r="H1558">
        <v>305</v>
      </c>
      <c r="I1558">
        <v>54</v>
      </c>
    </row>
    <row r="1559" spans="1:9" x14ac:dyDescent="0.3">
      <c r="A1559" s="1">
        <v>46082</v>
      </c>
      <c r="B1559" t="s">
        <v>114</v>
      </c>
      <c r="C1559" t="s">
        <v>36</v>
      </c>
      <c r="D1559">
        <v>0.76</v>
      </c>
      <c r="E1559">
        <v>65.400000000000006</v>
      </c>
      <c r="F1559">
        <v>0</v>
      </c>
      <c r="G1559">
        <v>0</v>
      </c>
      <c r="H1559">
        <v>861</v>
      </c>
      <c r="I1559">
        <v>55</v>
      </c>
    </row>
    <row r="1560" spans="1:9" x14ac:dyDescent="0.3">
      <c r="A1560" s="1">
        <v>46082</v>
      </c>
      <c r="B1560" t="s">
        <v>77</v>
      </c>
      <c r="C1560" t="s">
        <v>36</v>
      </c>
      <c r="D1560">
        <v>0.71</v>
      </c>
      <c r="E1560">
        <v>65.290000000000006</v>
      </c>
      <c r="F1560">
        <v>0</v>
      </c>
      <c r="G1560">
        <v>0</v>
      </c>
      <c r="H1560">
        <v>920</v>
      </c>
      <c r="I1560">
        <v>56</v>
      </c>
    </row>
    <row r="1561" spans="1:9" x14ac:dyDescent="0.3">
      <c r="A1561" s="1">
        <v>46082</v>
      </c>
      <c r="B1561" t="s">
        <v>84</v>
      </c>
      <c r="C1561" t="s">
        <v>36</v>
      </c>
      <c r="D1561">
        <v>0.63</v>
      </c>
      <c r="E1561">
        <v>179.36</v>
      </c>
      <c r="F1561">
        <v>0</v>
      </c>
      <c r="G1561">
        <v>0.01</v>
      </c>
      <c r="H1561">
        <v>2847</v>
      </c>
      <c r="I1561">
        <v>57</v>
      </c>
    </row>
    <row r="1562" spans="1:9" x14ac:dyDescent="0.3">
      <c r="A1562" s="1">
        <v>46082</v>
      </c>
      <c r="B1562" t="s">
        <v>100</v>
      </c>
      <c r="C1562" t="s">
        <v>36</v>
      </c>
      <c r="D1562">
        <v>0.61</v>
      </c>
      <c r="E1562">
        <v>764.55</v>
      </c>
      <c r="F1562">
        <v>0</v>
      </c>
      <c r="G1562">
        <v>0.03</v>
      </c>
      <c r="H1562">
        <v>12534</v>
      </c>
      <c r="I1562">
        <v>58</v>
      </c>
    </row>
    <row r="1563" spans="1:9" x14ac:dyDescent="0.3">
      <c r="A1563" s="1">
        <v>46082</v>
      </c>
      <c r="B1563" t="s">
        <v>102</v>
      </c>
      <c r="C1563" t="s">
        <v>36</v>
      </c>
      <c r="D1563">
        <v>0.6</v>
      </c>
      <c r="E1563">
        <v>53.47</v>
      </c>
      <c r="F1563">
        <v>0</v>
      </c>
      <c r="G1563">
        <v>0</v>
      </c>
      <c r="H1563">
        <v>891</v>
      </c>
      <c r="I1563">
        <v>59</v>
      </c>
    </row>
    <row r="1564" spans="1:9" x14ac:dyDescent="0.3">
      <c r="A1564" s="1">
        <v>46082</v>
      </c>
      <c r="B1564" t="s">
        <v>75</v>
      </c>
      <c r="C1564" t="s">
        <v>36</v>
      </c>
      <c r="D1564">
        <v>0.57999999999999996</v>
      </c>
      <c r="E1564">
        <v>220.76</v>
      </c>
      <c r="F1564">
        <v>0</v>
      </c>
      <c r="G1564">
        <v>0.01</v>
      </c>
      <c r="H1564">
        <v>3806</v>
      </c>
      <c r="I1564">
        <v>60</v>
      </c>
    </row>
    <row r="1565" spans="1:9" x14ac:dyDescent="0.3">
      <c r="A1565" s="1">
        <v>46082</v>
      </c>
      <c r="B1565" t="s">
        <v>81</v>
      </c>
      <c r="C1565" t="s">
        <v>36</v>
      </c>
      <c r="D1565">
        <v>0.55000000000000004</v>
      </c>
      <c r="E1565">
        <v>73.760000000000005</v>
      </c>
      <c r="F1565">
        <v>0</v>
      </c>
      <c r="G1565">
        <v>0</v>
      </c>
      <c r="H1565">
        <v>1341</v>
      </c>
      <c r="I1565">
        <v>61</v>
      </c>
    </row>
    <row r="1566" spans="1:9" x14ac:dyDescent="0.3">
      <c r="A1566" s="1">
        <v>46082</v>
      </c>
      <c r="B1566" t="s">
        <v>97</v>
      </c>
      <c r="C1566" t="s">
        <v>36</v>
      </c>
      <c r="D1566">
        <v>0.54</v>
      </c>
      <c r="E1566">
        <v>33.28</v>
      </c>
      <c r="F1566">
        <v>0</v>
      </c>
      <c r="G1566">
        <v>0</v>
      </c>
      <c r="H1566">
        <v>616</v>
      </c>
      <c r="I1566">
        <v>62</v>
      </c>
    </row>
    <row r="1567" spans="1:9" x14ac:dyDescent="0.3">
      <c r="A1567" s="1">
        <v>46082</v>
      </c>
      <c r="B1567" t="s">
        <v>87</v>
      </c>
      <c r="C1567" t="s">
        <v>36</v>
      </c>
      <c r="D1567">
        <v>0.51</v>
      </c>
      <c r="E1567">
        <v>141.43</v>
      </c>
      <c r="F1567">
        <v>0</v>
      </c>
      <c r="G1567">
        <v>0</v>
      </c>
      <c r="H1567">
        <v>2773</v>
      </c>
      <c r="I1567">
        <v>63</v>
      </c>
    </row>
    <row r="1568" spans="1:9" x14ac:dyDescent="0.3">
      <c r="A1568" s="1">
        <v>46082</v>
      </c>
      <c r="B1568" t="s">
        <v>70</v>
      </c>
      <c r="C1568" t="s">
        <v>36</v>
      </c>
      <c r="D1568">
        <v>0.5</v>
      </c>
      <c r="E1568">
        <v>186.01</v>
      </c>
      <c r="F1568">
        <v>0</v>
      </c>
      <c r="G1568">
        <v>0.01</v>
      </c>
      <c r="H1568">
        <v>3720</v>
      </c>
      <c r="I1568">
        <v>64</v>
      </c>
    </row>
    <row r="1569" spans="1:9" x14ac:dyDescent="0.3">
      <c r="A1569" s="1">
        <v>46082</v>
      </c>
      <c r="B1569" t="s">
        <v>113</v>
      </c>
      <c r="C1569" t="s">
        <v>36</v>
      </c>
      <c r="D1569">
        <v>0.45</v>
      </c>
      <c r="E1569">
        <v>39.06</v>
      </c>
      <c r="F1569">
        <v>0</v>
      </c>
      <c r="G1569">
        <v>0</v>
      </c>
      <c r="H1569">
        <v>868</v>
      </c>
      <c r="I1569">
        <v>65</v>
      </c>
    </row>
    <row r="1570" spans="1:9" x14ac:dyDescent="0.3">
      <c r="A1570" s="1">
        <v>46082</v>
      </c>
      <c r="B1570" t="s">
        <v>127</v>
      </c>
      <c r="C1570" t="s">
        <v>36</v>
      </c>
      <c r="D1570">
        <v>0.33</v>
      </c>
      <c r="E1570">
        <v>38.42</v>
      </c>
      <c r="F1570">
        <v>0</v>
      </c>
      <c r="G1570">
        <v>0</v>
      </c>
      <c r="H1570">
        <v>1164</v>
      </c>
      <c r="I1570">
        <v>66</v>
      </c>
    </row>
    <row r="1571" spans="1:9" x14ac:dyDescent="0.3">
      <c r="A1571" s="1">
        <v>46082</v>
      </c>
      <c r="B1571" t="s">
        <v>89</v>
      </c>
      <c r="C1571" t="s">
        <v>36</v>
      </c>
      <c r="D1571">
        <v>0.33</v>
      </c>
      <c r="E1571">
        <v>118.47</v>
      </c>
      <c r="F1571">
        <v>0</v>
      </c>
      <c r="G1571">
        <v>0</v>
      </c>
      <c r="H1571">
        <v>3590</v>
      </c>
      <c r="I1571">
        <v>66</v>
      </c>
    </row>
    <row r="1572" spans="1:9" x14ac:dyDescent="0.3">
      <c r="A1572" s="1">
        <v>46082</v>
      </c>
      <c r="B1572" t="s">
        <v>85</v>
      </c>
      <c r="C1572" t="s">
        <v>36</v>
      </c>
      <c r="D1572">
        <v>0.31</v>
      </c>
      <c r="E1572">
        <v>90.6</v>
      </c>
      <c r="F1572">
        <v>0</v>
      </c>
      <c r="G1572">
        <v>0</v>
      </c>
      <c r="H1572">
        <v>2923</v>
      </c>
      <c r="I1572">
        <v>68</v>
      </c>
    </row>
    <row r="1573" spans="1:9" x14ac:dyDescent="0.3">
      <c r="A1573" s="1">
        <v>46082</v>
      </c>
      <c r="B1573" t="s">
        <v>94</v>
      </c>
      <c r="C1573" t="s">
        <v>36</v>
      </c>
      <c r="D1573">
        <v>0.27</v>
      </c>
      <c r="E1573">
        <v>210.13</v>
      </c>
      <c r="F1573">
        <v>0</v>
      </c>
      <c r="G1573">
        <v>0.01</v>
      </c>
      <c r="H1573">
        <v>7783</v>
      </c>
      <c r="I1573">
        <v>69</v>
      </c>
    </row>
    <row r="1574" spans="1:9" x14ac:dyDescent="0.3">
      <c r="A1574" s="1">
        <v>46082</v>
      </c>
      <c r="B1574" t="s">
        <v>93</v>
      </c>
      <c r="C1574" t="s">
        <v>36</v>
      </c>
      <c r="D1574">
        <v>0.23</v>
      </c>
      <c r="E1574">
        <v>114.74</v>
      </c>
      <c r="F1574">
        <v>0</v>
      </c>
      <c r="G1574">
        <v>0</v>
      </c>
      <c r="H1574">
        <v>4989</v>
      </c>
      <c r="I1574">
        <v>70</v>
      </c>
    </row>
    <row r="1575" spans="1:9" x14ac:dyDescent="0.3">
      <c r="A1575" s="1">
        <v>46082</v>
      </c>
      <c r="B1575" t="s">
        <v>88</v>
      </c>
      <c r="C1575" t="s">
        <v>36</v>
      </c>
      <c r="D1575">
        <v>0.22</v>
      </c>
      <c r="E1575">
        <v>60.16</v>
      </c>
      <c r="F1575">
        <v>0</v>
      </c>
      <c r="G1575">
        <v>0</v>
      </c>
      <c r="H1575">
        <v>2735</v>
      </c>
      <c r="I1575">
        <v>71</v>
      </c>
    </row>
    <row r="1576" spans="1:9" x14ac:dyDescent="0.3">
      <c r="A1576" s="1">
        <v>46082</v>
      </c>
      <c r="B1576" t="s">
        <v>117</v>
      </c>
      <c r="C1576" t="s">
        <v>36</v>
      </c>
      <c r="D1576">
        <v>0.22</v>
      </c>
      <c r="E1576">
        <v>35.03</v>
      </c>
      <c r="F1576">
        <v>0</v>
      </c>
      <c r="G1576">
        <v>0</v>
      </c>
      <c r="H1576">
        <v>1592</v>
      </c>
      <c r="I1576">
        <v>71</v>
      </c>
    </row>
    <row r="1577" spans="1:9" x14ac:dyDescent="0.3">
      <c r="A1577" s="1">
        <v>46082</v>
      </c>
      <c r="B1577" t="s">
        <v>90</v>
      </c>
      <c r="C1577" t="s">
        <v>36</v>
      </c>
      <c r="D1577">
        <v>0.19</v>
      </c>
      <c r="E1577">
        <v>8.9499999999999993</v>
      </c>
      <c r="F1577">
        <v>0</v>
      </c>
      <c r="G1577">
        <v>0</v>
      </c>
      <c r="H1577">
        <v>471</v>
      </c>
      <c r="I1577">
        <v>73</v>
      </c>
    </row>
    <row r="1578" spans="1:9" x14ac:dyDescent="0.3">
      <c r="A1578" s="1">
        <v>46082</v>
      </c>
      <c r="B1578" t="s">
        <v>99</v>
      </c>
      <c r="C1578" t="s">
        <v>36</v>
      </c>
      <c r="D1578">
        <v>0.18</v>
      </c>
      <c r="E1578">
        <v>6.33</v>
      </c>
      <c r="F1578">
        <v>0</v>
      </c>
      <c r="G1578">
        <v>0</v>
      </c>
      <c r="H1578">
        <v>352</v>
      </c>
      <c r="I1578">
        <v>74</v>
      </c>
    </row>
    <row r="1579" spans="1:9" x14ac:dyDescent="0.3">
      <c r="A1579" s="1">
        <v>46082</v>
      </c>
      <c r="B1579" t="s">
        <v>101</v>
      </c>
      <c r="C1579" t="s">
        <v>36</v>
      </c>
      <c r="D1579">
        <v>0.14000000000000001</v>
      </c>
      <c r="E1579">
        <v>51.74</v>
      </c>
      <c r="F1579">
        <v>0</v>
      </c>
      <c r="G1579">
        <v>0</v>
      </c>
      <c r="H1579">
        <v>3696</v>
      </c>
      <c r="I1579">
        <v>75</v>
      </c>
    </row>
    <row r="1580" spans="1:9" x14ac:dyDescent="0.3">
      <c r="A1580" s="1">
        <v>46082</v>
      </c>
      <c r="B1580" t="s">
        <v>123</v>
      </c>
      <c r="C1580" t="s">
        <v>36</v>
      </c>
      <c r="D1580">
        <v>0.14000000000000001</v>
      </c>
      <c r="E1580">
        <v>14.32</v>
      </c>
      <c r="F1580">
        <v>0</v>
      </c>
      <c r="G1580">
        <v>0</v>
      </c>
      <c r="H1580">
        <v>1023</v>
      </c>
      <c r="I1580">
        <v>75</v>
      </c>
    </row>
    <row r="1581" spans="1:9" x14ac:dyDescent="0.3">
      <c r="A1581" s="1">
        <v>46082</v>
      </c>
      <c r="B1581" t="s">
        <v>119</v>
      </c>
      <c r="C1581" t="s">
        <v>36</v>
      </c>
      <c r="D1581">
        <v>0.11</v>
      </c>
      <c r="E1581">
        <v>10.23</v>
      </c>
      <c r="F1581">
        <v>0</v>
      </c>
      <c r="G1581">
        <v>0</v>
      </c>
      <c r="H1581">
        <v>930</v>
      </c>
      <c r="I1581">
        <v>77</v>
      </c>
    </row>
    <row r="1582" spans="1:9" x14ac:dyDescent="0.3">
      <c r="A1582" s="1">
        <v>46082</v>
      </c>
      <c r="B1582" t="s">
        <v>96</v>
      </c>
      <c r="C1582" t="s">
        <v>36</v>
      </c>
      <c r="D1582">
        <v>0.11</v>
      </c>
      <c r="E1582">
        <v>45.11</v>
      </c>
      <c r="F1582">
        <v>0</v>
      </c>
      <c r="G1582">
        <v>0</v>
      </c>
      <c r="H1582">
        <v>4101</v>
      </c>
      <c r="I1582">
        <v>77</v>
      </c>
    </row>
    <row r="1583" spans="1:9" x14ac:dyDescent="0.3">
      <c r="A1583" s="1">
        <v>46082</v>
      </c>
      <c r="B1583" t="s">
        <v>95</v>
      </c>
      <c r="C1583" t="s">
        <v>36</v>
      </c>
      <c r="D1583">
        <v>0.11</v>
      </c>
      <c r="E1583">
        <v>33.64</v>
      </c>
      <c r="F1583">
        <v>0</v>
      </c>
      <c r="G1583">
        <v>0</v>
      </c>
      <c r="H1583">
        <v>3058</v>
      </c>
      <c r="I1583">
        <v>77</v>
      </c>
    </row>
    <row r="1584" spans="1:9" x14ac:dyDescent="0.3">
      <c r="A1584" s="1">
        <v>46082</v>
      </c>
      <c r="B1584" t="s">
        <v>109</v>
      </c>
      <c r="C1584" t="s">
        <v>36</v>
      </c>
      <c r="D1584">
        <v>0.1</v>
      </c>
      <c r="E1584">
        <v>11.52</v>
      </c>
      <c r="F1584">
        <v>0</v>
      </c>
      <c r="G1584">
        <v>0</v>
      </c>
      <c r="H1584">
        <v>1152</v>
      </c>
      <c r="I1584">
        <v>80</v>
      </c>
    </row>
    <row r="1585" spans="1:9" x14ac:dyDescent="0.3">
      <c r="A1585" s="1">
        <v>46082</v>
      </c>
      <c r="B1585" t="s">
        <v>86</v>
      </c>
      <c r="C1585" t="s">
        <v>36</v>
      </c>
      <c r="D1585">
        <v>0.1</v>
      </c>
      <c r="E1585">
        <v>33.630000000000003</v>
      </c>
      <c r="F1585">
        <v>0</v>
      </c>
      <c r="G1585">
        <v>0</v>
      </c>
      <c r="H1585">
        <v>3363</v>
      </c>
      <c r="I1585">
        <v>80</v>
      </c>
    </row>
    <row r="1586" spans="1:9" x14ac:dyDescent="0.3">
      <c r="A1586" s="1">
        <v>46082</v>
      </c>
      <c r="B1586" t="s">
        <v>110</v>
      </c>
      <c r="C1586" t="s">
        <v>36</v>
      </c>
      <c r="D1586">
        <v>0.08</v>
      </c>
      <c r="E1586">
        <v>7.18</v>
      </c>
      <c r="F1586">
        <v>0</v>
      </c>
      <c r="G1586">
        <v>0</v>
      </c>
      <c r="H1586">
        <v>898</v>
      </c>
      <c r="I1586">
        <v>82</v>
      </c>
    </row>
    <row r="1587" spans="1:9" x14ac:dyDescent="0.3">
      <c r="A1587" s="1">
        <v>46082</v>
      </c>
      <c r="B1587" t="s">
        <v>116</v>
      </c>
      <c r="C1587" t="s">
        <v>36</v>
      </c>
      <c r="D1587">
        <v>0.08</v>
      </c>
      <c r="E1587">
        <v>30.38</v>
      </c>
      <c r="F1587">
        <v>0</v>
      </c>
      <c r="G1587">
        <v>0</v>
      </c>
      <c r="H1587">
        <v>3798</v>
      </c>
      <c r="I1587">
        <v>82</v>
      </c>
    </row>
    <row r="1588" spans="1:9" x14ac:dyDescent="0.3">
      <c r="A1588" s="1">
        <v>46082</v>
      </c>
      <c r="B1588" t="s">
        <v>105</v>
      </c>
      <c r="C1588" t="s">
        <v>36</v>
      </c>
      <c r="D1588">
        <v>7.0000000000000007E-2</v>
      </c>
      <c r="E1588">
        <v>19.579999999999998</v>
      </c>
      <c r="F1588">
        <v>0</v>
      </c>
      <c r="G1588">
        <v>0</v>
      </c>
      <c r="H1588">
        <v>2797</v>
      </c>
      <c r="I1588">
        <v>84</v>
      </c>
    </row>
    <row r="1589" spans="1:9" x14ac:dyDescent="0.3">
      <c r="A1589" s="1">
        <v>46082</v>
      </c>
      <c r="B1589" t="s">
        <v>125</v>
      </c>
      <c r="C1589" t="s">
        <v>36</v>
      </c>
      <c r="D1589">
        <v>0.06</v>
      </c>
      <c r="E1589">
        <v>3.89</v>
      </c>
      <c r="F1589">
        <v>0</v>
      </c>
      <c r="G1589">
        <v>0</v>
      </c>
      <c r="H1589">
        <v>648</v>
      </c>
      <c r="I1589">
        <v>85</v>
      </c>
    </row>
    <row r="1590" spans="1:9" x14ac:dyDescent="0.3">
      <c r="A1590" s="1">
        <v>46082</v>
      </c>
      <c r="B1590" t="s">
        <v>128</v>
      </c>
      <c r="C1590" t="s">
        <v>36</v>
      </c>
      <c r="D1590">
        <v>0.06</v>
      </c>
      <c r="E1590">
        <v>10.78</v>
      </c>
      <c r="F1590">
        <v>0</v>
      </c>
      <c r="G1590">
        <v>0</v>
      </c>
      <c r="H1590">
        <v>1797</v>
      </c>
      <c r="I1590">
        <v>85</v>
      </c>
    </row>
    <row r="1591" spans="1:9" x14ac:dyDescent="0.3">
      <c r="A1591" s="1">
        <v>46082</v>
      </c>
      <c r="B1591" t="s">
        <v>118</v>
      </c>
      <c r="C1591" t="s">
        <v>36</v>
      </c>
      <c r="D1591">
        <v>0.06</v>
      </c>
      <c r="E1591">
        <v>15.04</v>
      </c>
      <c r="F1591">
        <v>0</v>
      </c>
      <c r="G1591">
        <v>0</v>
      </c>
      <c r="H1591">
        <v>2507</v>
      </c>
      <c r="I1591">
        <v>85</v>
      </c>
    </row>
    <row r="1592" spans="1:9" x14ac:dyDescent="0.3">
      <c r="A1592" s="1">
        <v>46082</v>
      </c>
      <c r="B1592" t="s">
        <v>91</v>
      </c>
      <c r="C1592" t="s">
        <v>36</v>
      </c>
      <c r="D1592">
        <v>0.05</v>
      </c>
      <c r="E1592">
        <v>3.97</v>
      </c>
      <c r="F1592">
        <v>0</v>
      </c>
      <c r="G1592">
        <v>0</v>
      </c>
      <c r="H1592">
        <v>794</v>
      </c>
      <c r="I1592">
        <v>88</v>
      </c>
    </row>
    <row r="1593" spans="1:9" x14ac:dyDescent="0.3">
      <c r="A1593" s="1">
        <v>46082</v>
      </c>
      <c r="B1593" t="s">
        <v>126</v>
      </c>
      <c r="C1593" t="s">
        <v>36</v>
      </c>
      <c r="D1593">
        <v>0.05</v>
      </c>
      <c r="E1593">
        <v>4.01</v>
      </c>
      <c r="F1593">
        <v>0</v>
      </c>
      <c r="G1593">
        <v>0</v>
      </c>
      <c r="H1593">
        <v>802</v>
      </c>
      <c r="I1593">
        <v>88</v>
      </c>
    </row>
    <row r="1594" spans="1:9" x14ac:dyDescent="0.3">
      <c r="A1594" s="1">
        <v>46082</v>
      </c>
      <c r="B1594" t="s">
        <v>129</v>
      </c>
      <c r="C1594" t="s">
        <v>36</v>
      </c>
      <c r="D1594">
        <v>0.03</v>
      </c>
      <c r="E1594">
        <v>2.5299999999999998</v>
      </c>
      <c r="F1594">
        <v>0</v>
      </c>
      <c r="G1594">
        <v>0</v>
      </c>
      <c r="H1594">
        <v>843</v>
      </c>
      <c r="I1594">
        <v>90</v>
      </c>
    </row>
    <row r="1595" spans="1:9" x14ac:dyDescent="0.3">
      <c r="A1595" s="1">
        <v>46082</v>
      </c>
      <c r="B1595" t="s">
        <v>104</v>
      </c>
      <c r="C1595" t="s">
        <v>36</v>
      </c>
      <c r="D1595">
        <v>0.03</v>
      </c>
      <c r="E1595">
        <v>13.83</v>
      </c>
      <c r="F1595">
        <v>0</v>
      </c>
      <c r="G1595">
        <v>0</v>
      </c>
      <c r="H1595">
        <v>4610</v>
      </c>
      <c r="I1595">
        <v>90</v>
      </c>
    </row>
    <row r="1596" spans="1:9" x14ac:dyDescent="0.3">
      <c r="A1596" s="1">
        <v>46113</v>
      </c>
      <c r="B1596" t="s">
        <v>32</v>
      </c>
      <c r="C1596" t="s">
        <v>32</v>
      </c>
      <c r="D1596">
        <v>10330.299999999999</v>
      </c>
      <c r="E1596">
        <v>1431722.56</v>
      </c>
      <c r="F1596">
        <v>46.23</v>
      </c>
      <c r="G1596">
        <v>49.32</v>
      </c>
      <c r="H1596">
        <v>1386</v>
      </c>
      <c r="I1596">
        <v>1</v>
      </c>
    </row>
    <row r="1597" spans="1:9" x14ac:dyDescent="0.3">
      <c r="A1597" s="1">
        <v>46113</v>
      </c>
      <c r="B1597" t="s">
        <v>33</v>
      </c>
      <c r="C1597" t="s">
        <v>33</v>
      </c>
      <c r="D1597">
        <v>7359.44</v>
      </c>
      <c r="E1597">
        <v>972068.42</v>
      </c>
      <c r="F1597">
        <v>32.93</v>
      </c>
      <c r="G1597">
        <v>33.49</v>
      </c>
      <c r="H1597">
        <v>1321</v>
      </c>
      <c r="I1597">
        <v>2</v>
      </c>
    </row>
    <row r="1598" spans="1:9" x14ac:dyDescent="0.3">
      <c r="A1598" s="1">
        <v>46113</v>
      </c>
      <c r="B1598" t="s">
        <v>34</v>
      </c>
      <c r="C1598" t="s">
        <v>34</v>
      </c>
      <c r="D1598">
        <v>1778.06</v>
      </c>
      <c r="E1598">
        <v>194317.77</v>
      </c>
      <c r="F1598">
        <v>7.96</v>
      </c>
      <c r="G1598">
        <v>6.69</v>
      </c>
      <c r="H1598">
        <v>1093</v>
      </c>
      <c r="I1598">
        <v>3</v>
      </c>
    </row>
    <row r="1599" spans="1:9" x14ac:dyDescent="0.3">
      <c r="A1599" s="1">
        <v>46113</v>
      </c>
      <c r="B1599" t="s">
        <v>37</v>
      </c>
      <c r="C1599" t="s">
        <v>36</v>
      </c>
      <c r="D1599">
        <v>801.87</v>
      </c>
      <c r="E1599">
        <v>42683.85</v>
      </c>
      <c r="F1599">
        <v>3.59</v>
      </c>
      <c r="G1599">
        <v>1.47</v>
      </c>
      <c r="H1599">
        <v>532</v>
      </c>
      <c r="I1599">
        <v>4</v>
      </c>
    </row>
    <row r="1600" spans="1:9" x14ac:dyDescent="0.3">
      <c r="A1600" s="1">
        <v>46113</v>
      </c>
      <c r="B1600" t="s">
        <v>47</v>
      </c>
      <c r="C1600" t="s">
        <v>36</v>
      </c>
      <c r="D1600">
        <v>369.41</v>
      </c>
      <c r="E1600">
        <v>16365.13</v>
      </c>
      <c r="F1600">
        <v>1.65</v>
      </c>
      <c r="G1600">
        <v>0.56000000000000005</v>
      </c>
      <c r="H1600">
        <v>443</v>
      </c>
      <c r="I1600">
        <v>5</v>
      </c>
    </row>
    <row r="1601" spans="1:9" x14ac:dyDescent="0.3">
      <c r="A1601" s="1">
        <v>46113</v>
      </c>
      <c r="B1601" t="s">
        <v>46</v>
      </c>
      <c r="C1601" t="s">
        <v>36</v>
      </c>
      <c r="D1601">
        <v>210.17</v>
      </c>
      <c r="E1601">
        <v>25198.44</v>
      </c>
      <c r="F1601">
        <v>0.94</v>
      </c>
      <c r="G1601">
        <v>0.87</v>
      </c>
      <c r="H1601">
        <v>1199</v>
      </c>
      <c r="I1601">
        <v>6</v>
      </c>
    </row>
    <row r="1602" spans="1:9" x14ac:dyDescent="0.3">
      <c r="A1602" s="1">
        <v>46113</v>
      </c>
      <c r="B1602" t="s">
        <v>40</v>
      </c>
      <c r="C1602" t="s">
        <v>36</v>
      </c>
      <c r="D1602">
        <v>182.87</v>
      </c>
      <c r="E1602">
        <v>2503.31</v>
      </c>
      <c r="F1602">
        <v>0.82</v>
      </c>
      <c r="G1602">
        <v>0.09</v>
      </c>
      <c r="H1602">
        <v>137</v>
      </c>
      <c r="I1602">
        <v>7</v>
      </c>
    </row>
    <row r="1603" spans="1:9" x14ac:dyDescent="0.3">
      <c r="A1603" s="1">
        <v>46113</v>
      </c>
      <c r="B1603" t="s">
        <v>35</v>
      </c>
      <c r="C1603" t="s">
        <v>36</v>
      </c>
      <c r="D1603">
        <v>157.51</v>
      </c>
      <c r="E1603">
        <v>56569.08</v>
      </c>
      <c r="F1603">
        <v>0.7</v>
      </c>
      <c r="G1603">
        <v>1.95</v>
      </c>
      <c r="H1603">
        <v>3591</v>
      </c>
      <c r="I1603">
        <v>8</v>
      </c>
    </row>
    <row r="1604" spans="1:9" x14ac:dyDescent="0.3">
      <c r="A1604" s="1">
        <v>46113</v>
      </c>
      <c r="B1604" t="s">
        <v>42</v>
      </c>
      <c r="C1604" t="s">
        <v>36</v>
      </c>
      <c r="D1604">
        <v>138.69</v>
      </c>
      <c r="E1604">
        <v>10498.22</v>
      </c>
      <c r="F1604">
        <v>0.62</v>
      </c>
      <c r="G1604">
        <v>0.36</v>
      </c>
      <c r="H1604">
        <v>757</v>
      </c>
      <c r="I1604">
        <v>9</v>
      </c>
    </row>
    <row r="1605" spans="1:9" x14ac:dyDescent="0.3">
      <c r="A1605" s="1">
        <v>46113</v>
      </c>
      <c r="B1605" t="s">
        <v>38</v>
      </c>
      <c r="C1605" t="s">
        <v>36</v>
      </c>
      <c r="D1605">
        <v>125.81</v>
      </c>
      <c r="E1605">
        <v>10253.66</v>
      </c>
      <c r="F1605">
        <v>0.56000000000000005</v>
      </c>
      <c r="G1605">
        <v>0.35</v>
      </c>
      <c r="H1605">
        <v>815</v>
      </c>
      <c r="I1605">
        <v>10</v>
      </c>
    </row>
    <row r="1606" spans="1:9" x14ac:dyDescent="0.3">
      <c r="A1606" s="1">
        <v>46113</v>
      </c>
      <c r="B1606" t="s">
        <v>43</v>
      </c>
      <c r="C1606" t="s">
        <v>36</v>
      </c>
      <c r="D1606">
        <v>116.19</v>
      </c>
      <c r="E1606">
        <v>13895.16</v>
      </c>
      <c r="F1606">
        <v>0.52</v>
      </c>
      <c r="G1606">
        <v>0.48</v>
      </c>
      <c r="H1606">
        <v>1196</v>
      </c>
      <c r="I1606">
        <v>11</v>
      </c>
    </row>
    <row r="1607" spans="1:9" x14ac:dyDescent="0.3">
      <c r="A1607" s="1">
        <v>46113</v>
      </c>
      <c r="B1607" t="s">
        <v>39</v>
      </c>
      <c r="C1607" t="s">
        <v>36</v>
      </c>
      <c r="D1607">
        <v>83.77</v>
      </c>
      <c r="E1607">
        <v>10067.74</v>
      </c>
      <c r="F1607">
        <v>0.37</v>
      </c>
      <c r="G1607">
        <v>0.35</v>
      </c>
      <c r="H1607">
        <v>1202</v>
      </c>
      <c r="I1607">
        <v>12</v>
      </c>
    </row>
    <row r="1608" spans="1:9" x14ac:dyDescent="0.3">
      <c r="A1608" s="1">
        <v>46113</v>
      </c>
      <c r="B1608" t="s">
        <v>49</v>
      </c>
      <c r="C1608" t="s">
        <v>36</v>
      </c>
      <c r="D1608">
        <v>80.16</v>
      </c>
      <c r="E1608">
        <v>9186.34</v>
      </c>
      <c r="F1608">
        <v>0.36</v>
      </c>
      <c r="G1608">
        <v>0.32</v>
      </c>
      <c r="H1608">
        <v>1146</v>
      </c>
      <c r="I1608">
        <v>13</v>
      </c>
    </row>
    <row r="1609" spans="1:9" x14ac:dyDescent="0.3">
      <c r="A1609" s="1">
        <v>46113</v>
      </c>
      <c r="B1609" t="s">
        <v>44</v>
      </c>
      <c r="C1609" t="s">
        <v>36</v>
      </c>
      <c r="D1609">
        <v>66.83</v>
      </c>
      <c r="E1609">
        <v>16551.150000000001</v>
      </c>
      <c r="F1609">
        <v>0.3</v>
      </c>
      <c r="G1609">
        <v>0.56999999999999995</v>
      </c>
      <c r="H1609">
        <v>2477</v>
      </c>
      <c r="I1609">
        <v>14</v>
      </c>
    </row>
    <row r="1610" spans="1:9" x14ac:dyDescent="0.3">
      <c r="A1610" s="1">
        <v>46113</v>
      </c>
      <c r="B1610" t="s">
        <v>41</v>
      </c>
      <c r="C1610" t="s">
        <v>36</v>
      </c>
      <c r="D1610">
        <v>61.96</v>
      </c>
      <c r="E1610">
        <v>21366.17</v>
      </c>
      <c r="F1610">
        <v>0.28000000000000003</v>
      </c>
      <c r="G1610">
        <v>0.74</v>
      </c>
      <c r="H1610">
        <v>3448</v>
      </c>
      <c r="I1610">
        <v>15</v>
      </c>
    </row>
    <row r="1611" spans="1:9" x14ac:dyDescent="0.3">
      <c r="A1611" s="1">
        <v>46113</v>
      </c>
      <c r="B1611" t="s">
        <v>53</v>
      </c>
      <c r="C1611" t="s">
        <v>36</v>
      </c>
      <c r="D1611">
        <v>55.68</v>
      </c>
      <c r="E1611">
        <v>5155.9799999999996</v>
      </c>
      <c r="F1611">
        <v>0.25</v>
      </c>
      <c r="G1611">
        <v>0.18</v>
      </c>
      <c r="H1611">
        <v>926</v>
      </c>
      <c r="I1611">
        <v>16</v>
      </c>
    </row>
    <row r="1612" spans="1:9" x14ac:dyDescent="0.3">
      <c r="A1612" s="1">
        <v>46113</v>
      </c>
      <c r="B1612" t="s">
        <v>45</v>
      </c>
      <c r="C1612" t="s">
        <v>36</v>
      </c>
      <c r="D1612">
        <v>46.52</v>
      </c>
      <c r="E1612">
        <v>7103.2</v>
      </c>
      <c r="F1612">
        <v>0.21</v>
      </c>
      <c r="G1612">
        <v>0.24</v>
      </c>
      <c r="H1612">
        <v>1527</v>
      </c>
      <c r="I1612">
        <v>17</v>
      </c>
    </row>
    <row r="1613" spans="1:9" x14ac:dyDescent="0.3">
      <c r="A1613" s="1">
        <v>46113</v>
      </c>
      <c r="B1613" t="s">
        <v>55</v>
      </c>
      <c r="C1613" t="s">
        <v>36</v>
      </c>
      <c r="D1613">
        <v>26.86</v>
      </c>
      <c r="E1613">
        <v>3614.87</v>
      </c>
      <c r="F1613">
        <v>0.12</v>
      </c>
      <c r="G1613">
        <v>0.12</v>
      </c>
      <c r="H1613">
        <v>1346</v>
      </c>
      <c r="I1613">
        <v>18</v>
      </c>
    </row>
    <row r="1614" spans="1:9" x14ac:dyDescent="0.3">
      <c r="A1614" s="1">
        <v>46113</v>
      </c>
      <c r="B1614" t="s">
        <v>48</v>
      </c>
      <c r="C1614" t="s">
        <v>36</v>
      </c>
      <c r="D1614">
        <v>19.71</v>
      </c>
      <c r="E1614">
        <v>2144.91</v>
      </c>
      <c r="F1614">
        <v>0.09</v>
      </c>
      <c r="G1614">
        <v>7.0000000000000007E-2</v>
      </c>
      <c r="H1614">
        <v>1088</v>
      </c>
      <c r="I1614">
        <v>19</v>
      </c>
    </row>
    <row r="1615" spans="1:9" x14ac:dyDescent="0.3">
      <c r="A1615" s="1">
        <v>46113</v>
      </c>
      <c r="B1615" t="s">
        <v>54</v>
      </c>
      <c r="C1615" t="s">
        <v>36</v>
      </c>
      <c r="D1615">
        <v>19.07</v>
      </c>
      <c r="E1615">
        <v>5658.77</v>
      </c>
      <c r="F1615">
        <v>0.09</v>
      </c>
      <c r="G1615">
        <v>0.19</v>
      </c>
      <c r="H1615">
        <v>2967</v>
      </c>
      <c r="I1615">
        <v>20</v>
      </c>
    </row>
    <row r="1616" spans="1:9" x14ac:dyDescent="0.3">
      <c r="A1616" s="1">
        <v>46113</v>
      </c>
      <c r="B1616" t="s">
        <v>57</v>
      </c>
      <c r="C1616" t="s">
        <v>36</v>
      </c>
      <c r="D1616">
        <v>17.190000000000001</v>
      </c>
      <c r="E1616">
        <v>1968.16</v>
      </c>
      <c r="F1616">
        <v>0.08</v>
      </c>
      <c r="G1616">
        <v>7.0000000000000007E-2</v>
      </c>
      <c r="H1616">
        <v>1145</v>
      </c>
      <c r="I1616">
        <v>21</v>
      </c>
    </row>
    <row r="1617" spans="1:9" x14ac:dyDescent="0.3">
      <c r="A1617" s="1">
        <v>46113</v>
      </c>
      <c r="B1617" t="s">
        <v>50</v>
      </c>
      <c r="C1617" t="s">
        <v>36</v>
      </c>
      <c r="D1617">
        <v>14.66</v>
      </c>
      <c r="E1617">
        <v>12631.62</v>
      </c>
      <c r="F1617">
        <v>7.0000000000000007E-2</v>
      </c>
      <c r="G1617">
        <v>0.44</v>
      </c>
      <c r="H1617">
        <v>8616</v>
      </c>
      <c r="I1617">
        <v>22</v>
      </c>
    </row>
    <row r="1618" spans="1:9" x14ac:dyDescent="0.3">
      <c r="A1618" s="1">
        <v>46113</v>
      </c>
      <c r="B1618" t="s">
        <v>52</v>
      </c>
      <c r="C1618" t="s">
        <v>36</v>
      </c>
      <c r="D1618">
        <v>14.39</v>
      </c>
      <c r="E1618">
        <v>3027.38</v>
      </c>
      <c r="F1618">
        <v>0.06</v>
      </c>
      <c r="G1618">
        <v>0.1</v>
      </c>
      <c r="H1618">
        <v>2104</v>
      </c>
      <c r="I1618">
        <v>23</v>
      </c>
    </row>
    <row r="1619" spans="1:9" x14ac:dyDescent="0.3">
      <c r="A1619" s="1">
        <v>46113</v>
      </c>
      <c r="B1619" t="s">
        <v>118</v>
      </c>
      <c r="C1619" t="s">
        <v>36</v>
      </c>
      <c r="D1619">
        <v>12.68</v>
      </c>
      <c r="E1619">
        <v>1595.48</v>
      </c>
      <c r="F1619">
        <v>0.06</v>
      </c>
      <c r="G1619">
        <v>0.05</v>
      </c>
      <c r="H1619">
        <v>1258</v>
      </c>
      <c r="I1619">
        <v>24</v>
      </c>
    </row>
    <row r="1620" spans="1:9" x14ac:dyDescent="0.3">
      <c r="A1620" s="1">
        <v>46113</v>
      </c>
      <c r="B1620" t="s">
        <v>56</v>
      </c>
      <c r="C1620" t="s">
        <v>36</v>
      </c>
      <c r="D1620">
        <v>10.82</v>
      </c>
      <c r="E1620">
        <v>719.62</v>
      </c>
      <c r="F1620">
        <v>0.05</v>
      </c>
      <c r="G1620">
        <v>0.02</v>
      </c>
      <c r="H1620">
        <v>665</v>
      </c>
      <c r="I1620">
        <v>25</v>
      </c>
    </row>
    <row r="1621" spans="1:9" x14ac:dyDescent="0.3">
      <c r="A1621" s="1">
        <v>46113</v>
      </c>
      <c r="B1621" t="s">
        <v>58</v>
      </c>
      <c r="C1621" t="s">
        <v>36</v>
      </c>
      <c r="D1621">
        <v>7.83</v>
      </c>
      <c r="E1621">
        <v>2957.86</v>
      </c>
      <c r="F1621">
        <v>0.04</v>
      </c>
      <c r="G1621">
        <v>0.1</v>
      </c>
      <c r="H1621">
        <v>3778</v>
      </c>
      <c r="I1621">
        <v>26</v>
      </c>
    </row>
    <row r="1622" spans="1:9" x14ac:dyDescent="0.3">
      <c r="A1622" s="1">
        <v>46113</v>
      </c>
      <c r="B1622" t="s">
        <v>62</v>
      </c>
      <c r="C1622" t="s">
        <v>36</v>
      </c>
      <c r="D1622">
        <v>7.32</v>
      </c>
      <c r="E1622">
        <v>471.07</v>
      </c>
      <c r="F1622">
        <v>0.03</v>
      </c>
      <c r="G1622">
        <v>0.02</v>
      </c>
      <c r="H1622">
        <v>644</v>
      </c>
      <c r="I1622">
        <v>27</v>
      </c>
    </row>
    <row r="1623" spans="1:9" x14ac:dyDescent="0.3">
      <c r="A1623" s="1">
        <v>46113</v>
      </c>
      <c r="B1623" t="s">
        <v>122</v>
      </c>
      <c r="C1623" t="s">
        <v>36</v>
      </c>
      <c r="D1623">
        <v>7</v>
      </c>
      <c r="E1623">
        <v>159.16999999999999</v>
      </c>
      <c r="F1623">
        <v>0.03</v>
      </c>
      <c r="G1623">
        <v>0.01</v>
      </c>
      <c r="H1623">
        <v>227</v>
      </c>
      <c r="I1623">
        <v>28</v>
      </c>
    </row>
    <row r="1624" spans="1:9" x14ac:dyDescent="0.3">
      <c r="A1624" s="1">
        <v>46113</v>
      </c>
      <c r="B1624" t="s">
        <v>67</v>
      </c>
      <c r="C1624" t="s">
        <v>36</v>
      </c>
      <c r="D1624">
        <v>6.91</v>
      </c>
      <c r="E1624">
        <v>3763.82</v>
      </c>
      <c r="F1624">
        <v>0.03</v>
      </c>
      <c r="G1624">
        <v>0.13</v>
      </c>
      <c r="H1624">
        <v>5447</v>
      </c>
      <c r="I1624">
        <v>29</v>
      </c>
    </row>
    <row r="1625" spans="1:9" x14ac:dyDescent="0.3">
      <c r="A1625" s="1">
        <v>46113</v>
      </c>
      <c r="B1625" t="s">
        <v>65</v>
      </c>
      <c r="C1625" t="s">
        <v>36</v>
      </c>
      <c r="D1625">
        <v>6.89</v>
      </c>
      <c r="E1625">
        <v>579.41</v>
      </c>
      <c r="F1625">
        <v>0.03</v>
      </c>
      <c r="G1625">
        <v>0.02</v>
      </c>
      <c r="H1625">
        <v>841</v>
      </c>
      <c r="I1625">
        <v>30</v>
      </c>
    </row>
    <row r="1626" spans="1:9" x14ac:dyDescent="0.3">
      <c r="A1626" s="1">
        <v>46113</v>
      </c>
      <c r="B1626" t="s">
        <v>59</v>
      </c>
      <c r="C1626" t="s">
        <v>36</v>
      </c>
      <c r="D1626">
        <v>5.54</v>
      </c>
      <c r="E1626">
        <v>914.66</v>
      </c>
      <c r="F1626">
        <v>0.02</v>
      </c>
      <c r="G1626">
        <v>0.03</v>
      </c>
      <c r="H1626">
        <v>1651</v>
      </c>
      <c r="I1626">
        <v>31</v>
      </c>
    </row>
    <row r="1627" spans="1:9" x14ac:dyDescent="0.3">
      <c r="A1627" s="1">
        <v>46113</v>
      </c>
      <c r="B1627" t="s">
        <v>60</v>
      </c>
      <c r="C1627" t="s">
        <v>36</v>
      </c>
      <c r="D1627">
        <v>4.78</v>
      </c>
      <c r="E1627">
        <v>906.02</v>
      </c>
      <c r="F1627">
        <v>0.02</v>
      </c>
      <c r="G1627">
        <v>0.03</v>
      </c>
      <c r="H1627">
        <v>1895</v>
      </c>
      <c r="I1627">
        <v>32</v>
      </c>
    </row>
    <row r="1628" spans="1:9" x14ac:dyDescent="0.3">
      <c r="A1628" s="1">
        <v>46113</v>
      </c>
      <c r="B1628" t="s">
        <v>115</v>
      </c>
      <c r="C1628" t="s">
        <v>36</v>
      </c>
      <c r="D1628">
        <v>3.88</v>
      </c>
      <c r="E1628">
        <v>1238.3900000000001</v>
      </c>
      <c r="F1628">
        <v>0.02</v>
      </c>
      <c r="G1628">
        <v>0.04</v>
      </c>
      <c r="H1628">
        <v>3192</v>
      </c>
      <c r="I1628">
        <v>33</v>
      </c>
    </row>
    <row r="1629" spans="1:9" x14ac:dyDescent="0.3">
      <c r="A1629" s="1">
        <v>46113</v>
      </c>
      <c r="B1629" t="s">
        <v>71</v>
      </c>
      <c r="C1629" t="s">
        <v>36</v>
      </c>
      <c r="D1629">
        <v>3.64</v>
      </c>
      <c r="E1629">
        <v>514.72</v>
      </c>
      <c r="F1629">
        <v>0.02</v>
      </c>
      <c r="G1629">
        <v>0.02</v>
      </c>
      <c r="H1629">
        <v>1414</v>
      </c>
      <c r="I1629">
        <v>34</v>
      </c>
    </row>
    <row r="1630" spans="1:9" x14ac:dyDescent="0.3">
      <c r="A1630" s="1">
        <v>46113</v>
      </c>
      <c r="B1630" t="s">
        <v>112</v>
      </c>
      <c r="C1630" t="s">
        <v>36</v>
      </c>
      <c r="D1630">
        <v>3.5</v>
      </c>
      <c r="E1630">
        <v>239.4</v>
      </c>
      <c r="F1630">
        <v>0.02</v>
      </c>
      <c r="G1630">
        <v>0.01</v>
      </c>
      <c r="H1630">
        <v>684</v>
      </c>
      <c r="I1630">
        <v>35</v>
      </c>
    </row>
    <row r="1631" spans="1:9" x14ac:dyDescent="0.3">
      <c r="A1631" s="1">
        <v>46113</v>
      </c>
      <c r="B1631" t="s">
        <v>61</v>
      </c>
      <c r="C1631" t="s">
        <v>36</v>
      </c>
      <c r="D1631">
        <v>3.34</v>
      </c>
      <c r="E1631">
        <v>1014.38</v>
      </c>
      <c r="F1631">
        <v>0.01</v>
      </c>
      <c r="G1631">
        <v>0.03</v>
      </c>
      <c r="H1631">
        <v>3037</v>
      </c>
      <c r="I1631">
        <v>36</v>
      </c>
    </row>
    <row r="1632" spans="1:9" x14ac:dyDescent="0.3">
      <c r="A1632" s="1">
        <v>46113</v>
      </c>
      <c r="B1632" t="s">
        <v>51</v>
      </c>
      <c r="C1632" t="s">
        <v>36</v>
      </c>
      <c r="D1632">
        <v>2.91</v>
      </c>
      <c r="E1632">
        <v>127.7</v>
      </c>
      <c r="F1632">
        <v>0.01</v>
      </c>
      <c r="G1632">
        <v>0</v>
      </c>
      <c r="H1632">
        <v>439</v>
      </c>
      <c r="I1632">
        <v>37</v>
      </c>
    </row>
    <row r="1633" spans="1:9" x14ac:dyDescent="0.3">
      <c r="A1633" s="1">
        <v>46113</v>
      </c>
      <c r="B1633" t="s">
        <v>83</v>
      </c>
      <c r="C1633" t="s">
        <v>36</v>
      </c>
      <c r="D1633">
        <v>2.69</v>
      </c>
      <c r="E1633">
        <v>15.55</v>
      </c>
      <c r="F1633">
        <v>0.01</v>
      </c>
      <c r="G1633">
        <v>0</v>
      </c>
      <c r="H1633">
        <v>58</v>
      </c>
      <c r="I1633">
        <v>38</v>
      </c>
    </row>
    <row r="1634" spans="1:9" x14ac:dyDescent="0.3">
      <c r="A1634" s="1">
        <v>46113</v>
      </c>
      <c r="B1634" t="s">
        <v>82</v>
      </c>
      <c r="C1634" t="s">
        <v>36</v>
      </c>
      <c r="D1634">
        <v>2.41</v>
      </c>
      <c r="E1634">
        <v>461.49</v>
      </c>
      <c r="F1634">
        <v>0.01</v>
      </c>
      <c r="G1634">
        <v>0.02</v>
      </c>
      <c r="H1634">
        <v>1915</v>
      </c>
      <c r="I1634">
        <v>39</v>
      </c>
    </row>
    <row r="1635" spans="1:9" x14ac:dyDescent="0.3">
      <c r="A1635" s="1">
        <v>46113</v>
      </c>
      <c r="B1635" t="s">
        <v>98</v>
      </c>
      <c r="C1635" t="s">
        <v>36</v>
      </c>
      <c r="D1635">
        <v>2.2999999999999998</v>
      </c>
      <c r="E1635">
        <v>236.53</v>
      </c>
      <c r="F1635">
        <v>0.01</v>
      </c>
      <c r="G1635">
        <v>0.01</v>
      </c>
      <c r="H1635">
        <v>1028</v>
      </c>
      <c r="I1635">
        <v>40</v>
      </c>
    </row>
    <row r="1636" spans="1:9" x14ac:dyDescent="0.3">
      <c r="A1636" s="1">
        <v>46113</v>
      </c>
      <c r="B1636" t="s">
        <v>68</v>
      </c>
      <c r="C1636" t="s">
        <v>36</v>
      </c>
      <c r="D1636">
        <v>1.94</v>
      </c>
      <c r="E1636">
        <v>103.45</v>
      </c>
      <c r="F1636">
        <v>0.01</v>
      </c>
      <c r="G1636">
        <v>0</v>
      </c>
      <c r="H1636">
        <v>533</v>
      </c>
      <c r="I1636">
        <v>41</v>
      </c>
    </row>
    <row r="1637" spans="1:9" x14ac:dyDescent="0.3">
      <c r="A1637" s="1">
        <v>46113</v>
      </c>
      <c r="B1637" t="s">
        <v>64</v>
      </c>
      <c r="C1637" t="s">
        <v>36</v>
      </c>
      <c r="D1637">
        <v>1.69</v>
      </c>
      <c r="E1637">
        <v>508.22</v>
      </c>
      <c r="F1637">
        <v>0.01</v>
      </c>
      <c r="G1637">
        <v>0.02</v>
      </c>
      <c r="H1637">
        <v>3007</v>
      </c>
      <c r="I1637">
        <v>42</v>
      </c>
    </row>
    <row r="1638" spans="1:9" x14ac:dyDescent="0.3">
      <c r="A1638" s="1">
        <v>46113</v>
      </c>
      <c r="B1638" t="s">
        <v>63</v>
      </c>
      <c r="C1638" t="s">
        <v>36</v>
      </c>
      <c r="D1638">
        <v>1.66</v>
      </c>
      <c r="E1638">
        <v>469.09</v>
      </c>
      <c r="F1638">
        <v>0.01</v>
      </c>
      <c r="G1638">
        <v>0.02</v>
      </c>
      <c r="H1638">
        <v>2826</v>
      </c>
      <c r="I1638">
        <v>43</v>
      </c>
    </row>
    <row r="1639" spans="1:9" x14ac:dyDescent="0.3">
      <c r="A1639" s="1">
        <v>46113</v>
      </c>
      <c r="B1639" t="s">
        <v>69</v>
      </c>
      <c r="C1639" t="s">
        <v>36</v>
      </c>
      <c r="D1639">
        <v>1.62</v>
      </c>
      <c r="E1639">
        <v>493.97</v>
      </c>
      <c r="F1639">
        <v>0.01</v>
      </c>
      <c r="G1639">
        <v>0.02</v>
      </c>
      <c r="H1639">
        <v>3049</v>
      </c>
      <c r="I1639">
        <v>44</v>
      </c>
    </row>
    <row r="1640" spans="1:9" x14ac:dyDescent="0.3">
      <c r="A1640" s="1">
        <v>46113</v>
      </c>
      <c r="B1640" t="s">
        <v>76</v>
      </c>
      <c r="C1640" t="s">
        <v>36</v>
      </c>
      <c r="D1640">
        <v>1.58</v>
      </c>
      <c r="E1640">
        <v>179.83</v>
      </c>
      <c r="F1640">
        <v>0.01</v>
      </c>
      <c r="G1640">
        <v>0.01</v>
      </c>
      <c r="H1640">
        <v>1138</v>
      </c>
      <c r="I1640">
        <v>45</v>
      </c>
    </row>
    <row r="1641" spans="1:9" x14ac:dyDescent="0.3">
      <c r="A1641" s="1">
        <v>46113</v>
      </c>
      <c r="B1641" t="s">
        <v>79</v>
      </c>
      <c r="C1641" t="s">
        <v>36</v>
      </c>
      <c r="D1641">
        <v>1.53</v>
      </c>
      <c r="E1641">
        <v>556.24</v>
      </c>
      <c r="F1641">
        <v>0.01</v>
      </c>
      <c r="G1641">
        <v>0.02</v>
      </c>
      <c r="H1641">
        <v>3636</v>
      </c>
      <c r="I1641">
        <v>46</v>
      </c>
    </row>
    <row r="1642" spans="1:9" x14ac:dyDescent="0.3">
      <c r="A1642" s="1">
        <v>46113</v>
      </c>
      <c r="B1642" t="s">
        <v>80</v>
      </c>
      <c r="C1642" t="s">
        <v>36</v>
      </c>
      <c r="D1642">
        <v>1.43</v>
      </c>
      <c r="E1642">
        <v>235.26</v>
      </c>
      <c r="F1642">
        <v>0.01</v>
      </c>
      <c r="G1642">
        <v>0.01</v>
      </c>
      <c r="H1642">
        <v>1645</v>
      </c>
      <c r="I1642">
        <v>47</v>
      </c>
    </row>
    <row r="1643" spans="1:9" x14ac:dyDescent="0.3">
      <c r="A1643" s="1">
        <v>46113</v>
      </c>
      <c r="B1643" t="s">
        <v>103</v>
      </c>
      <c r="C1643" t="s">
        <v>36</v>
      </c>
      <c r="D1643">
        <v>1.37</v>
      </c>
      <c r="E1643">
        <v>147.19</v>
      </c>
      <c r="F1643">
        <v>0.01</v>
      </c>
      <c r="G1643">
        <v>0.01</v>
      </c>
      <c r="H1643">
        <v>1074</v>
      </c>
      <c r="I1643">
        <v>48</v>
      </c>
    </row>
    <row r="1644" spans="1:9" x14ac:dyDescent="0.3">
      <c r="A1644" s="1">
        <v>46113</v>
      </c>
      <c r="B1644" t="s">
        <v>121</v>
      </c>
      <c r="C1644" t="s">
        <v>36</v>
      </c>
      <c r="D1644">
        <v>1.04</v>
      </c>
      <c r="E1644">
        <v>27.14</v>
      </c>
      <c r="F1644">
        <v>0</v>
      </c>
      <c r="G1644">
        <v>0</v>
      </c>
      <c r="H1644">
        <v>261</v>
      </c>
      <c r="I1644">
        <v>49</v>
      </c>
    </row>
    <row r="1645" spans="1:9" x14ac:dyDescent="0.3">
      <c r="A1645" s="1">
        <v>46113</v>
      </c>
      <c r="B1645" t="s">
        <v>73</v>
      </c>
      <c r="C1645" t="s">
        <v>36</v>
      </c>
      <c r="D1645">
        <v>1.03</v>
      </c>
      <c r="E1645">
        <v>320.2</v>
      </c>
      <c r="F1645">
        <v>0</v>
      </c>
      <c r="G1645">
        <v>0.01</v>
      </c>
      <c r="H1645">
        <v>3109</v>
      </c>
      <c r="I1645">
        <v>50</v>
      </c>
    </row>
    <row r="1646" spans="1:9" x14ac:dyDescent="0.3">
      <c r="A1646" s="1">
        <v>46113</v>
      </c>
      <c r="B1646" t="s">
        <v>78</v>
      </c>
      <c r="C1646" t="s">
        <v>36</v>
      </c>
      <c r="D1646">
        <v>0.99</v>
      </c>
      <c r="E1646">
        <v>314.38</v>
      </c>
      <c r="F1646">
        <v>0</v>
      </c>
      <c r="G1646">
        <v>0.01</v>
      </c>
      <c r="H1646">
        <v>3176</v>
      </c>
      <c r="I1646">
        <v>51</v>
      </c>
    </row>
    <row r="1647" spans="1:9" x14ac:dyDescent="0.3">
      <c r="A1647" s="1">
        <v>46113</v>
      </c>
      <c r="B1647" t="s">
        <v>72</v>
      </c>
      <c r="C1647" t="s">
        <v>36</v>
      </c>
      <c r="D1647">
        <v>0.97</v>
      </c>
      <c r="E1647">
        <v>20.83</v>
      </c>
      <c r="F1647">
        <v>0</v>
      </c>
      <c r="G1647">
        <v>0</v>
      </c>
      <c r="H1647">
        <v>215</v>
      </c>
      <c r="I1647">
        <v>52</v>
      </c>
    </row>
    <row r="1648" spans="1:9" x14ac:dyDescent="0.3">
      <c r="A1648" s="1">
        <v>46113</v>
      </c>
      <c r="B1648" t="s">
        <v>87</v>
      </c>
      <c r="C1648" t="s">
        <v>36</v>
      </c>
      <c r="D1648">
        <v>0.94</v>
      </c>
      <c r="E1648">
        <v>167.85</v>
      </c>
      <c r="F1648">
        <v>0</v>
      </c>
      <c r="G1648">
        <v>0.01</v>
      </c>
      <c r="H1648">
        <v>1786</v>
      </c>
      <c r="I1648">
        <v>53</v>
      </c>
    </row>
    <row r="1649" spans="1:9" x14ac:dyDescent="0.3">
      <c r="A1649" s="1">
        <v>46113</v>
      </c>
      <c r="B1649" t="s">
        <v>74</v>
      </c>
      <c r="C1649" t="s">
        <v>36</v>
      </c>
      <c r="D1649">
        <v>0.89</v>
      </c>
      <c r="E1649">
        <v>289.27</v>
      </c>
      <c r="F1649">
        <v>0</v>
      </c>
      <c r="G1649">
        <v>0.01</v>
      </c>
      <c r="H1649">
        <v>3250</v>
      </c>
      <c r="I1649">
        <v>54</v>
      </c>
    </row>
    <row r="1650" spans="1:9" x14ac:dyDescent="0.3">
      <c r="A1650" s="1">
        <v>46113</v>
      </c>
      <c r="B1650" t="s">
        <v>114</v>
      </c>
      <c r="C1650" t="s">
        <v>36</v>
      </c>
      <c r="D1650">
        <v>0.85</v>
      </c>
      <c r="E1650">
        <v>66.290000000000006</v>
      </c>
      <c r="F1650">
        <v>0</v>
      </c>
      <c r="G1650">
        <v>0</v>
      </c>
      <c r="H1650">
        <v>780</v>
      </c>
      <c r="I1650">
        <v>55</v>
      </c>
    </row>
    <row r="1651" spans="1:9" x14ac:dyDescent="0.3">
      <c r="A1651" s="1">
        <v>46113</v>
      </c>
      <c r="B1651" t="s">
        <v>66</v>
      </c>
      <c r="C1651" t="s">
        <v>36</v>
      </c>
      <c r="D1651">
        <v>0.82</v>
      </c>
      <c r="E1651">
        <v>17.940000000000001</v>
      </c>
      <c r="F1651">
        <v>0</v>
      </c>
      <c r="G1651">
        <v>0</v>
      </c>
      <c r="H1651">
        <v>219</v>
      </c>
      <c r="I1651">
        <v>56</v>
      </c>
    </row>
    <row r="1652" spans="1:9" x14ac:dyDescent="0.3">
      <c r="A1652" s="1">
        <v>46113</v>
      </c>
      <c r="B1652" t="s">
        <v>102</v>
      </c>
      <c r="C1652" t="s">
        <v>36</v>
      </c>
      <c r="D1652">
        <v>0.79</v>
      </c>
      <c r="E1652">
        <v>59.77</v>
      </c>
      <c r="F1652">
        <v>0</v>
      </c>
      <c r="G1652">
        <v>0</v>
      </c>
      <c r="H1652">
        <v>757</v>
      </c>
      <c r="I1652">
        <v>57</v>
      </c>
    </row>
    <row r="1653" spans="1:9" x14ac:dyDescent="0.3">
      <c r="A1653" s="1">
        <v>46113</v>
      </c>
      <c r="B1653" t="s">
        <v>77</v>
      </c>
      <c r="C1653" t="s">
        <v>36</v>
      </c>
      <c r="D1653">
        <v>0.62</v>
      </c>
      <c r="E1653">
        <v>59.81</v>
      </c>
      <c r="F1653">
        <v>0</v>
      </c>
      <c r="G1653">
        <v>0</v>
      </c>
      <c r="H1653">
        <v>965</v>
      </c>
      <c r="I1653">
        <v>58</v>
      </c>
    </row>
    <row r="1654" spans="1:9" x14ac:dyDescent="0.3">
      <c r="A1654" s="1">
        <v>46113</v>
      </c>
      <c r="B1654" t="s">
        <v>84</v>
      </c>
      <c r="C1654" t="s">
        <v>36</v>
      </c>
      <c r="D1654">
        <v>0.61</v>
      </c>
      <c r="E1654">
        <v>174.27</v>
      </c>
      <c r="F1654">
        <v>0</v>
      </c>
      <c r="G1654">
        <v>0.01</v>
      </c>
      <c r="H1654">
        <v>2857</v>
      </c>
      <c r="I1654">
        <v>59</v>
      </c>
    </row>
    <row r="1655" spans="1:9" x14ac:dyDescent="0.3">
      <c r="A1655" s="1">
        <v>46113</v>
      </c>
      <c r="B1655" t="s">
        <v>75</v>
      </c>
      <c r="C1655" t="s">
        <v>36</v>
      </c>
      <c r="D1655">
        <v>0.55000000000000004</v>
      </c>
      <c r="E1655">
        <v>202.63</v>
      </c>
      <c r="F1655">
        <v>0</v>
      </c>
      <c r="G1655">
        <v>0.01</v>
      </c>
      <c r="H1655">
        <v>3684</v>
      </c>
      <c r="I1655">
        <v>60</v>
      </c>
    </row>
    <row r="1656" spans="1:9" x14ac:dyDescent="0.3">
      <c r="A1656" s="1">
        <v>46113</v>
      </c>
      <c r="B1656" t="s">
        <v>97</v>
      </c>
      <c r="C1656" t="s">
        <v>36</v>
      </c>
      <c r="D1656">
        <v>0.55000000000000004</v>
      </c>
      <c r="E1656">
        <v>32.36</v>
      </c>
      <c r="F1656">
        <v>0</v>
      </c>
      <c r="G1656">
        <v>0</v>
      </c>
      <c r="H1656">
        <v>588</v>
      </c>
      <c r="I1656">
        <v>60</v>
      </c>
    </row>
    <row r="1657" spans="1:9" x14ac:dyDescent="0.3">
      <c r="A1657" s="1">
        <v>46113</v>
      </c>
      <c r="B1657" t="s">
        <v>70</v>
      </c>
      <c r="C1657" t="s">
        <v>36</v>
      </c>
      <c r="D1657">
        <v>0.53</v>
      </c>
      <c r="E1657">
        <v>188.97</v>
      </c>
      <c r="F1657">
        <v>0</v>
      </c>
      <c r="G1657">
        <v>0.01</v>
      </c>
      <c r="H1657">
        <v>3565</v>
      </c>
      <c r="I1657">
        <v>62</v>
      </c>
    </row>
    <row r="1658" spans="1:9" x14ac:dyDescent="0.3">
      <c r="A1658" s="1">
        <v>46113</v>
      </c>
      <c r="B1658" t="s">
        <v>81</v>
      </c>
      <c r="C1658" t="s">
        <v>36</v>
      </c>
      <c r="D1658">
        <v>0.53</v>
      </c>
      <c r="E1658">
        <v>60.6</v>
      </c>
      <c r="F1658">
        <v>0</v>
      </c>
      <c r="G1658">
        <v>0</v>
      </c>
      <c r="H1658">
        <v>1143</v>
      </c>
      <c r="I1658">
        <v>62</v>
      </c>
    </row>
    <row r="1659" spans="1:9" x14ac:dyDescent="0.3">
      <c r="A1659" s="1">
        <v>46113</v>
      </c>
      <c r="B1659" t="s">
        <v>100</v>
      </c>
      <c r="C1659" t="s">
        <v>36</v>
      </c>
      <c r="D1659">
        <v>0.53</v>
      </c>
      <c r="E1659">
        <v>633.09</v>
      </c>
      <c r="F1659">
        <v>0</v>
      </c>
      <c r="G1659">
        <v>0.02</v>
      </c>
      <c r="H1659">
        <v>11945</v>
      </c>
      <c r="I1659">
        <v>62</v>
      </c>
    </row>
    <row r="1660" spans="1:9" x14ac:dyDescent="0.3">
      <c r="A1660" s="1">
        <v>46113</v>
      </c>
      <c r="B1660" t="s">
        <v>108</v>
      </c>
      <c r="C1660" t="s">
        <v>36</v>
      </c>
      <c r="D1660">
        <v>0.49</v>
      </c>
      <c r="E1660">
        <v>98.1</v>
      </c>
      <c r="F1660">
        <v>0</v>
      </c>
      <c r="G1660">
        <v>0</v>
      </c>
      <c r="H1660">
        <v>2002</v>
      </c>
      <c r="I1660">
        <v>65</v>
      </c>
    </row>
    <row r="1661" spans="1:9" x14ac:dyDescent="0.3">
      <c r="A1661" s="1">
        <v>46113</v>
      </c>
      <c r="B1661" t="s">
        <v>113</v>
      </c>
      <c r="C1661" t="s">
        <v>36</v>
      </c>
      <c r="D1661">
        <v>0.43</v>
      </c>
      <c r="E1661">
        <v>37.82</v>
      </c>
      <c r="F1661">
        <v>0</v>
      </c>
      <c r="G1661">
        <v>0</v>
      </c>
      <c r="H1661">
        <v>880</v>
      </c>
      <c r="I1661">
        <v>66</v>
      </c>
    </row>
    <row r="1662" spans="1:9" x14ac:dyDescent="0.3">
      <c r="A1662" s="1">
        <v>46113</v>
      </c>
      <c r="B1662" t="s">
        <v>127</v>
      </c>
      <c r="C1662" t="s">
        <v>36</v>
      </c>
      <c r="D1662">
        <v>0.38</v>
      </c>
      <c r="E1662">
        <v>46.1</v>
      </c>
      <c r="F1662">
        <v>0</v>
      </c>
      <c r="G1662">
        <v>0</v>
      </c>
      <c r="H1662">
        <v>1213</v>
      </c>
      <c r="I1662">
        <v>67</v>
      </c>
    </row>
    <row r="1663" spans="1:9" x14ac:dyDescent="0.3">
      <c r="A1663" s="1">
        <v>46113</v>
      </c>
      <c r="B1663" t="s">
        <v>85</v>
      </c>
      <c r="C1663" t="s">
        <v>36</v>
      </c>
      <c r="D1663">
        <v>0.32</v>
      </c>
      <c r="E1663">
        <v>91.04</v>
      </c>
      <c r="F1663">
        <v>0</v>
      </c>
      <c r="G1663">
        <v>0</v>
      </c>
      <c r="H1663">
        <v>2845</v>
      </c>
      <c r="I1663">
        <v>68</v>
      </c>
    </row>
    <row r="1664" spans="1:9" x14ac:dyDescent="0.3">
      <c r="A1664" s="1">
        <v>46113</v>
      </c>
      <c r="B1664" t="s">
        <v>89</v>
      </c>
      <c r="C1664" t="s">
        <v>36</v>
      </c>
      <c r="D1664">
        <v>0.31</v>
      </c>
      <c r="E1664">
        <v>113.82</v>
      </c>
      <c r="F1664">
        <v>0</v>
      </c>
      <c r="G1664">
        <v>0</v>
      </c>
      <c r="H1664">
        <v>3672</v>
      </c>
      <c r="I1664">
        <v>69</v>
      </c>
    </row>
    <row r="1665" spans="1:9" x14ac:dyDescent="0.3">
      <c r="A1665" s="1">
        <v>46113</v>
      </c>
      <c r="B1665" t="s">
        <v>94</v>
      </c>
      <c r="C1665" t="s">
        <v>36</v>
      </c>
      <c r="D1665">
        <v>0.28000000000000003</v>
      </c>
      <c r="E1665">
        <v>182.7</v>
      </c>
      <c r="F1665">
        <v>0</v>
      </c>
      <c r="G1665">
        <v>0.01</v>
      </c>
      <c r="H1665">
        <v>6525</v>
      </c>
      <c r="I1665">
        <v>70</v>
      </c>
    </row>
    <row r="1666" spans="1:9" x14ac:dyDescent="0.3">
      <c r="A1666" s="1">
        <v>46113</v>
      </c>
      <c r="B1666" t="s">
        <v>117</v>
      </c>
      <c r="C1666" t="s">
        <v>36</v>
      </c>
      <c r="D1666">
        <v>0.24</v>
      </c>
      <c r="E1666">
        <v>39.68</v>
      </c>
      <c r="F1666">
        <v>0</v>
      </c>
      <c r="G1666">
        <v>0</v>
      </c>
      <c r="H1666">
        <v>1653</v>
      </c>
      <c r="I1666">
        <v>71</v>
      </c>
    </row>
    <row r="1667" spans="1:9" x14ac:dyDescent="0.3">
      <c r="A1667" s="1">
        <v>46113</v>
      </c>
      <c r="B1667" t="s">
        <v>93</v>
      </c>
      <c r="C1667" t="s">
        <v>36</v>
      </c>
      <c r="D1667">
        <v>0.24</v>
      </c>
      <c r="E1667">
        <v>120.32</v>
      </c>
      <c r="F1667">
        <v>0</v>
      </c>
      <c r="G1667">
        <v>0</v>
      </c>
      <c r="H1667">
        <v>5013</v>
      </c>
      <c r="I1667">
        <v>71</v>
      </c>
    </row>
    <row r="1668" spans="1:9" x14ac:dyDescent="0.3">
      <c r="A1668" s="1">
        <v>46113</v>
      </c>
      <c r="B1668" t="s">
        <v>88</v>
      </c>
      <c r="C1668" t="s">
        <v>36</v>
      </c>
      <c r="D1668">
        <v>0.24</v>
      </c>
      <c r="E1668">
        <v>62.75</v>
      </c>
      <c r="F1668">
        <v>0</v>
      </c>
      <c r="G1668">
        <v>0</v>
      </c>
      <c r="H1668">
        <v>2615</v>
      </c>
      <c r="I1668">
        <v>71</v>
      </c>
    </row>
    <row r="1669" spans="1:9" x14ac:dyDescent="0.3">
      <c r="A1669" s="1">
        <v>46113</v>
      </c>
      <c r="B1669" t="s">
        <v>95</v>
      </c>
      <c r="C1669" t="s">
        <v>36</v>
      </c>
      <c r="D1669">
        <v>0.18</v>
      </c>
      <c r="E1669">
        <v>32.81</v>
      </c>
      <c r="F1669">
        <v>0</v>
      </c>
      <c r="G1669">
        <v>0</v>
      </c>
      <c r="H1669">
        <v>1823</v>
      </c>
      <c r="I1669">
        <v>74</v>
      </c>
    </row>
    <row r="1670" spans="1:9" x14ac:dyDescent="0.3">
      <c r="A1670" s="1">
        <v>46113</v>
      </c>
      <c r="B1670" t="s">
        <v>90</v>
      </c>
      <c r="C1670" t="s">
        <v>36</v>
      </c>
      <c r="D1670">
        <v>0.16</v>
      </c>
      <c r="E1670">
        <v>8.09</v>
      </c>
      <c r="F1670">
        <v>0</v>
      </c>
      <c r="G1670">
        <v>0</v>
      </c>
      <c r="H1670">
        <v>506</v>
      </c>
      <c r="I1670">
        <v>75</v>
      </c>
    </row>
    <row r="1671" spans="1:9" x14ac:dyDescent="0.3">
      <c r="A1671" s="1">
        <v>46113</v>
      </c>
      <c r="B1671" t="s">
        <v>99</v>
      </c>
      <c r="C1671" t="s">
        <v>36</v>
      </c>
      <c r="D1671">
        <v>0.16</v>
      </c>
      <c r="E1671">
        <v>5.61</v>
      </c>
      <c r="F1671">
        <v>0</v>
      </c>
      <c r="G1671">
        <v>0</v>
      </c>
      <c r="H1671">
        <v>351</v>
      </c>
      <c r="I1671">
        <v>75</v>
      </c>
    </row>
    <row r="1672" spans="1:9" x14ac:dyDescent="0.3">
      <c r="A1672" s="1">
        <v>46113</v>
      </c>
      <c r="B1672" t="s">
        <v>101</v>
      </c>
      <c r="C1672" t="s">
        <v>36</v>
      </c>
      <c r="D1672">
        <v>0.13</v>
      </c>
      <c r="E1672">
        <v>44.7</v>
      </c>
      <c r="F1672">
        <v>0</v>
      </c>
      <c r="G1672">
        <v>0</v>
      </c>
      <c r="H1672">
        <v>3438</v>
      </c>
      <c r="I1672">
        <v>77</v>
      </c>
    </row>
    <row r="1673" spans="1:9" x14ac:dyDescent="0.3">
      <c r="A1673" s="1">
        <v>46113</v>
      </c>
      <c r="B1673" t="s">
        <v>96</v>
      </c>
      <c r="C1673" t="s">
        <v>36</v>
      </c>
      <c r="D1673">
        <v>0.1</v>
      </c>
      <c r="E1673">
        <v>42.71</v>
      </c>
      <c r="F1673">
        <v>0</v>
      </c>
      <c r="G1673">
        <v>0</v>
      </c>
      <c r="H1673">
        <v>4271</v>
      </c>
      <c r="I1673">
        <v>78</v>
      </c>
    </row>
    <row r="1674" spans="1:9" x14ac:dyDescent="0.3">
      <c r="A1674" s="1">
        <v>46113</v>
      </c>
      <c r="B1674" t="s">
        <v>86</v>
      </c>
      <c r="C1674" t="s">
        <v>36</v>
      </c>
      <c r="D1674">
        <v>0.09</v>
      </c>
      <c r="E1674">
        <v>32.03</v>
      </c>
      <c r="F1674">
        <v>0</v>
      </c>
      <c r="G1674">
        <v>0</v>
      </c>
      <c r="H1674">
        <v>3559</v>
      </c>
      <c r="I1674">
        <v>79</v>
      </c>
    </row>
    <row r="1675" spans="1:9" x14ac:dyDescent="0.3">
      <c r="A1675" s="1">
        <v>46113</v>
      </c>
      <c r="B1675" t="s">
        <v>119</v>
      </c>
      <c r="C1675" t="s">
        <v>36</v>
      </c>
      <c r="D1675">
        <v>0.09</v>
      </c>
      <c r="E1675">
        <v>7.77</v>
      </c>
      <c r="F1675">
        <v>0</v>
      </c>
      <c r="G1675">
        <v>0</v>
      </c>
      <c r="H1675">
        <v>863</v>
      </c>
      <c r="I1675">
        <v>79</v>
      </c>
    </row>
    <row r="1676" spans="1:9" x14ac:dyDescent="0.3">
      <c r="A1676" s="1">
        <v>46113</v>
      </c>
      <c r="B1676" t="s">
        <v>116</v>
      </c>
      <c r="C1676" t="s">
        <v>36</v>
      </c>
      <c r="D1676">
        <v>0.08</v>
      </c>
      <c r="E1676">
        <v>32.15</v>
      </c>
      <c r="F1676">
        <v>0</v>
      </c>
      <c r="G1676">
        <v>0</v>
      </c>
      <c r="H1676">
        <v>4019</v>
      </c>
      <c r="I1676">
        <v>81</v>
      </c>
    </row>
    <row r="1677" spans="1:9" x14ac:dyDescent="0.3">
      <c r="A1677" s="1">
        <v>46113</v>
      </c>
      <c r="B1677" t="s">
        <v>126</v>
      </c>
      <c r="C1677" t="s">
        <v>36</v>
      </c>
      <c r="D1677">
        <v>7.0000000000000007E-2</v>
      </c>
      <c r="E1677">
        <v>4.92</v>
      </c>
      <c r="F1677">
        <v>0</v>
      </c>
      <c r="G1677">
        <v>0</v>
      </c>
      <c r="H1677">
        <v>703</v>
      </c>
      <c r="I1677">
        <v>82</v>
      </c>
    </row>
    <row r="1678" spans="1:9" x14ac:dyDescent="0.3">
      <c r="A1678" s="1">
        <v>46113</v>
      </c>
      <c r="B1678" t="s">
        <v>128</v>
      </c>
      <c r="C1678" t="s">
        <v>36</v>
      </c>
      <c r="D1678">
        <v>7.0000000000000007E-2</v>
      </c>
      <c r="E1678">
        <v>12.46</v>
      </c>
      <c r="F1678">
        <v>0</v>
      </c>
      <c r="G1678">
        <v>0</v>
      </c>
      <c r="H1678">
        <v>1780</v>
      </c>
      <c r="I1678">
        <v>82</v>
      </c>
    </row>
    <row r="1679" spans="1:9" x14ac:dyDescent="0.3">
      <c r="A1679" s="1">
        <v>46113</v>
      </c>
      <c r="B1679" t="s">
        <v>125</v>
      </c>
      <c r="C1679" t="s">
        <v>36</v>
      </c>
      <c r="D1679">
        <v>7.0000000000000007E-2</v>
      </c>
      <c r="E1679">
        <v>4.4400000000000004</v>
      </c>
      <c r="F1679">
        <v>0</v>
      </c>
      <c r="G1679">
        <v>0</v>
      </c>
      <c r="H1679">
        <v>634</v>
      </c>
      <c r="I1679">
        <v>82</v>
      </c>
    </row>
    <row r="1680" spans="1:9" x14ac:dyDescent="0.3">
      <c r="A1680" s="1">
        <v>46113</v>
      </c>
      <c r="B1680" t="s">
        <v>105</v>
      </c>
      <c r="C1680" t="s">
        <v>36</v>
      </c>
      <c r="D1680">
        <v>0.06</v>
      </c>
      <c r="E1680">
        <v>17.97</v>
      </c>
      <c r="F1680">
        <v>0</v>
      </c>
      <c r="G1680">
        <v>0</v>
      </c>
      <c r="H1680">
        <v>2995</v>
      </c>
      <c r="I1680">
        <v>85</v>
      </c>
    </row>
    <row r="1681" spans="1:9" x14ac:dyDescent="0.3">
      <c r="A1681" s="1">
        <v>46113</v>
      </c>
      <c r="B1681" t="s">
        <v>130</v>
      </c>
      <c r="C1681" t="s">
        <v>36</v>
      </c>
      <c r="D1681">
        <v>0.05</v>
      </c>
      <c r="E1681">
        <v>24.74</v>
      </c>
      <c r="F1681">
        <v>0</v>
      </c>
      <c r="G1681">
        <v>0</v>
      </c>
      <c r="H1681">
        <v>4948</v>
      </c>
      <c r="I1681">
        <v>86</v>
      </c>
    </row>
    <row r="1682" spans="1:9" x14ac:dyDescent="0.3">
      <c r="A1682" s="1">
        <v>46113</v>
      </c>
      <c r="B1682" t="s">
        <v>110</v>
      </c>
      <c r="C1682" t="s">
        <v>36</v>
      </c>
      <c r="D1682">
        <v>0.05</v>
      </c>
      <c r="E1682">
        <v>4.4000000000000004</v>
      </c>
      <c r="F1682">
        <v>0</v>
      </c>
      <c r="G1682">
        <v>0</v>
      </c>
      <c r="H1682">
        <v>880</v>
      </c>
      <c r="I1682">
        <v>86</v>
      </c>
    </row>
    <row r="1683" spans="1:9" x14ac:dyDescent="0.3">
      <c r="A1683" s="1">
        <v>46113</v>
      </c>
      <c r="B1683" t="s">
        <v>91</v>
      </c>
      <c r="C1683" t="s">
        <v>36</v>
      </c>
      <c r="D1683">
        <v>0.05</v>
      </c>
      <c r="E1683">
        <v>4.03</v>
      </c>
      <c r="F1683">
        <v>0</v>
      </c>
      <c r="G1683">
        <v>0</v>
      </c>
      <c r="H1683">
        <v>806</v>
      </c>
      <c r="I1683">
        <v>86</v>
      </c>
    </row>
    <row r="1684" spans="1:9" x14ac:dyDescent="0.3">
      <c r="A1684" s="1">
        <v>46113</v>
      </c>
      <c r="B1684" t="s">
        <v>129</v>
      </c>
      <c r="C1684" t="s">
        <v>36</v>
      </c>
      <c r="D1684">
        <v>0.03</v>
      </c>
      <c r="E1684">
        <v>2.61</v>
      </c>
      <c r="F1684">
        <v>0</v>
      </c>
      <c r="G1684">
        <v>0</v>
      </c>
      <c r="H1684">
        <v>870</v>
      </c>
      <c r="I1684">
        <v>89</v>
      </c>
    </row>
    <row r="1685" spans="1:9" x14ac:dyDescent="0.3">
      <c r="A1685" s="1">
        <v>46113</v>
      </c>
      <c r="B1685" t="s">
        <v>104</v>
      </c>
      <c r="C1685" t="s">
        <v>36</v>
      </c>
      <c r="D1685">
        <v>0.03</v>
      </c>
      <c r="E1685">
        <v>14.45</v>
      </c>
      <c r="F1685">
        <v>0</v>
      </c>
      <c r="G1685">
        <v>0</v>
      </c>
      <c r="H1685">
        <v>4817</v>
      </c>
      <c r="I1685">
        <v>89</v>
      </c>
    </row>
    <row r="1686" spans="1:9" x14ac:dyDescent="0.3">
      <c r="A1686" s="1">
        <v>46143</v>
      </c>
      <c r="B1686" t="s">
        <v>32</v>
      </c>
      <c r="C1686" t="s">
        <v>32</v>
      </c>
      <c r="D1686">
        <v>10734.58</v>
      </c>
      <c r="E1686">
        <v>1467168.63</v>
      </c>
      <c r="F1686">
        <v>46.27</v>
      </c>
      <c r="G1686">
        <v>49.06</v>
      </c>
      <c r="H1686">
        <v>1367</v>
      </c>
      <c r="I1686">
        <v>1</v>
      </c>
    </row>
    <row r="1687" spans="1:9" x14ac:dyDescent="0.3">
      <c r="A1687" s="1">
        <v>46143</v>
      </c>
      <c r="B1687" t="s">
        <v>33</v>
      </c>
      <c r="C1687" t="s">
        <v>33</v>
      </c>
      <c r="D1687">
        <v>7598.37</v>
      </c>
      <c r="E1687">
        <v>1002878.34</v>
      </c>
      <c r="F1687">
        <v>32.75</v>
      </c>
      <c r="G1687">
        <v>33.54</v>
      </c>
      <c r="H1687">
        <v>1320</v>
      </c>
      <c r="I1687">
        <v>2</v>
      </c>
    </row>
    <row r="1688" spans="1:9" x14ac:dyDescent="0.3">
      <c r="A1688" s="1">
        <v>46143</v>
      </c>
      <c r="B1688" t="s">
        <v>34</v>
      </c>
      <c r="C1688" t="s">
        <v>34</v>
      </c>
      <c r="D1688">
        <v>1836.02</v>
      </c>
      <c r="E1688">
        <v>199103.37</v>
      </c>
      <c r="F1688">
        <v>7.91</v>
      </c>
      <c r="G1688">
        <v>6.66</v>
      </c>
      <c r="H1688">
        <v>1084</v>
      </c>
      <c r="I1688">
        <v>3</v>
      </c>
    </row>
    <row r="1689" spans="1:9" x14ac:dyDescent="0.3">
      <c r="A1689" s="1">
        <v>46143</v>
      </c>
      <c r="B1689" t="s">
        <v>37</v>
      </c>
      <c r="C1689" t="s">
        <v>36</v>
      </c>
      <c r="D1689">
        <v>824.11</v>
      </c>
      <c r="E1689">
        <v>43601.66</v>
      </c>
      <c r="F1689">
        <v>3.55</v>
      </c>
      <c r="G1689">
        <v>1.46</v>
      </c>
      <c r="H1689">
        <v>529</v>
      </c>
      <c r="I1689">
        <v>4</v>
      </c>
    </row>
    <row r="1690" spans="1:9" x14ac:dyDescent="0.3">
      <c r="A1690" s="1">
        <v>46143</v>
      </c>
      <c r="B1690" t="s">
        <v>47</v>
      </c>
      <c r="C1690" t="s">
        <v>36</v>
      </c>
      <c r="D1690">
        <v>418.84</v>
      </c>
      <c r="E1690">
        <v>19422.73</v>
      </c>
      <c r="F1690">
        <v>1.81</v>
      </c>
      <c r="G1690">
        <v>0.65</v>
      </c>
      <c r="H1690">
        <v>464</v>
      </c>
      <c r="I1690">
        <v>5</v>
      </c>
    </row>
    <row r="1691" spans="1:9" x14ac:dyDescent="0.3">
      <c r="A1691" s="1">
        <v>46143</v>
      </c>
      <c r="B1691" t="s">
        <v>46</v>
      </c>
      <c r="C1691" t="s">
        <v>36</v>
      </c>
      <c r="D1691">
        <v>227.49</v>
      </c>
      <c r="E1691">
        <v>26013.59</v>
      </c>
      <c r="F1691">
        <v>0.98</v>
      </c>
      <c r="G1691">
        <v>0.87</v>
      </c>
      <c r="H1691">
        <v>1144</v>
      </c>
      <c r="I1691">
        <v>6</v>
      </c>
    </row>
    <row r="1692" spans="1:9" x14ac:dyDescent="0.3">
      <c r="A1692" s="1">
        <v>46143</v>
      </c>
      <c r="B1692" t="s">
        <v>40</v>
      </c>
      <c r="C1692" t="s">
        <v>36</v>
      </c>
      <c r="D1692">
        <v>197.32</v>
      </c>
      <c r="E1692">
        <v>2738.59</v>
      </c>
      <c r="F1692">
        <v>0.85</v>
      </c>
      <c r="G1692">
        <v>0.09</v>
      </c>
      <c r="H1692">
        <v>139</v>
      </c>
      <c r="I1692">
        <v>7</v>
      </c>
    </row>
    <row r="1693" spans="1:9" x14ac:dyDescent="0.3">
      <c r="A1693" s="1">
        <v>46143</v>
      </c>
      <c r="B1693" t="s">
        <v>35</v>
      </c>
      <c r="C1693" t="s">
        <v>36</v>
      </c>
      <c r="D1693">
        <v>157.19</v>
      </c>
      <c r="E1693">
        <v>61002.44</v>
      </c>
      <c r="F1693">
        <v>0.68</v>
      </c>
      <c r="G1693">
        <v>2.04</v>
      </c>
      <c r="H1693">
        <v>3881</v>
      </c>
      <c r="I1693">
        <v>8</v>
      </c>
    </row>
    <row r="1694" spans="1:9" x14ac:dyDescent="0.3">
      <c r="A1694" s="1">
        <v>46143</v>
      </c>
      <c r="B1694" t="s">
        <v>42</v>
      </c>
      <c r="C1694" t="s">
        <v>36</v>
      </c>
      <c r="D1694">
        <v>150.43</v>
      </c>
      <c r="E1694">
        <v>11425.02</v>
      </c>
      <c r="F1694">
        <v>0.65</v>
      </c>
      <c r="G1694">
        <v>0.38</v>
      </c>
      <c r="H1694">
        <v>759</v>
      </c>
      <c r="I1694">
        <v>9</v>
      </c>
    </row>
    <row r="1695" spans="1:9" x14ac:dyDescent="0.3">
      <c r="A1695" s="1">
        <v>46143</v>
      </c>
      <c r="B1695" t="s">
        <v>38</v>
      </c>
      <c r="C1695" t="s">
        <v>36</v>
      </c>
      <c r="D1695">
        <v>134.19999999999999</v>
      </c>
      <c r="E1695">
        <v>13185.15</v>
      </c>
      <c r="F1695">
        <v>0.57999999999999996</v>
      </c>
      <c r="G1695">
        <v>0.44</v>
      </c>
      <c r="H1695">
        <v>983</v>
      </c>
      <c r="I1695">
        <v>10</v>
      </c>
    </row>
    <row r="1696" spans="1:9" x14ac:dyDescent="0.3">
      <c r="A1696" s="1">
        <v>46143</v>
      </c>
      <c r="B1696" t="s">
        <v>43</v>
      </c>
      <c r="C1696" t="s">
        <v>36</v>
      </c>
      <c r="D1696">
        <v>121.8</v>
      </c>
      <c r="E1696">
        <v>14336.15</v>
      </c>
      <c r="F1696">
        <v>0.52</v>
      </c>
      <c r="G1696">
        <v>0.48</v>
      </c>
      <c r="H1696">
        <v>1177</v>
      </c>
      <c r="I1696">
        <v>11</v>
      </c>
    </row>
    <row r="1697" spans="1:9" x14ac:dyDescent="0.3">
      <c r="A1697" s="1">
        <v>46143</v>
      </c>
      <c r="B1697" t="s">
        <v>39</v>
      </c>
      <c r="C1697" t="s">
        <v>36</v>
      </c>
      <c r="D1697">
        <v>87.34</v>
      </c>
      <c r="E1697">
        <v>10634.56</v>
      </c>
      <c r="F1697">
        <v>0.38</v>
      </c>
      <c r="G1697">
        <v>0.36</v>
      </c>
      <c r="H1697">
        <v>1218</v>
      </c>
      <c r="I1697">
        <v>12</v>
      </c>
    </row>
    <row r="1698" spans="1:9" x14ac:dyDescent="0.3">
      <c r="A1698" s="1">
        <v>46143</v>
      </c>
      <c r="B1698" t="s">
        <v>49</v>
      </c>
      <c r="C1698" t="s">
        <v>36</v>
      </c>
      <c r="D1698">
        <v>81.400000000000006</v>
      </c>
      <c r="E1698">
        <v>9626.57</v>
      </c>
      <c r="F1698">
        <v>0.35</v>
      </c>
      <c r="G1698">
        <v>0.32</v>
      </c>
      <c r="H1698">
        <v>1183</v>
      </c>
      <c r="I1698">
        <v>13</v>
      </c>
    </row>
    <row r="1699" spans="1:9" x14ac:dyDescent="0.3">
      <c r="A1699" s="1">
        <v>46143</v>
      </c>
      <c r="B1699" t="s">
        <v>44</v>
      </c>
      <c r="C1699" t="s">
        <v>36</v>
      </c>
      <c r="D1699">
        <v>66.19</v>
      </c>
      <c r="E1699">
        <v>17328.8</v>
      </c>
      <c r="F1699">
        <v>0.28999999999999998</v>
      </c>
      <c r="G1699">
        <v>0.57999999999999996</v>
      </c>
      <c r="H1699">
        <v>2618</v>
      </c>
      <c r="I1699">
        <v>14</v>
      </c>
    </row>
    <row r="1700" spans="1:9" x14ac:dyDescent="0.3">
      <c r="A1700" s="1">
        <v>46143</v>
      </c>
      <c r="B1700" t="s">
        <v>53</v>
      </c>
      <c r="C1700" t="s">
        <v>36</v>
      </c>
      <c r="D1700">
        <v>61.36</v>
      </c>
      <c r="E1700">
        <v>5558.18</v>
      </c>
      <c r="F1700">
        <v>0.26</v>
      </c>
      <c r="G1700">
        <v>0.19</v>
      </c>
      <c r="H1700">
        <v>906</v>
      </c>
      <c r="I1700">
        <v>15</v>
      </c>
    </row>
    <row r="1701" spans="1:9" x14ac:dyDescent="0.3">
      <c r="A1701" s="1">
        <v>46143</v>
      </c>
      <c r="B1701" t="s">
        <v>45</v>
      </c>
      <c r="C1701" t="s">
        <v>36</v>
      </c>
      <c r="D1701">
        <v>49.63</v>
      </c>
      <c r="E1701">
        <v>7634.86</v>
      </c>
      <c r="F1701">
        <v>0.21</v>
      </c>
      <c r="G1701">
        <v>0.26</v>
      </c>
      <c r="H1701">
        <v>1538</v>
      </c>
      <c r="I1701">
        <v>16</v>
      </c>
    </row>
    <row r="1702" spans="1:9" x14ac:dyDescent="0.3">
      <c r="A1702" s="1">
        <v>46143</v>
      </c>
      <c r="B1702" t="s">
        <v>41</v>
      </c>
      <c r="C1702" t="s">
        <v>36</v>
      </c>
      <c r="D1702">
        <v>47.89</v>
      </c>
      <c r="E1702">
        <v>21846</v>
      </c>
      <c r="F1702">
        <v>0.21</v>
      </c>
      <c r="G1702">
        <v>0.73</v>
      </c>
      <c r="H1702">
        <v>4562</v>
      </c>
      <c r="I1702">
        <v>17</v>
      </c>
    </row>
    <row r="1703" spans="1:9" x14ac:dyDescent="0.3">
      <c r="A1703" s="1">
        <v>46143</v>
      </c>
      <c r="B1703" t="s">
        <v>55</v>
      </c>
      <c r="C1703" t="s">
        <v>36</v>
      </c>
      <c r="D1703">
        <v>45.93</v>
      </c>
      <c r="E1703">
        <v>3900.77</v>
      </c>
      <c r="F1703">
        <v>0.2</v>
      </c>
      <c r="G1703">
        <v>0.13</v>
      </c>
      <c r="H1703">
        <v>849</v>
      </c>
      <c r="I1703">
        <v>18</v>
      </c>
    </row>
    <row r="1704" spans="1:9" x14ac:dyDescent="0.3">
      <c r="A1704" s="1">
        <v>46143</v>
      </c>
      <c r="B1704" t="s">
        <v>54</v>
      </c>
      <c r="C1704" t="s">
        <v>36</v>
      </c>
      <c r="D1704">
        <v>21.72</v>
      </c>
      <c r="E1704">
        <v>6042.86</v>
      </c>
      <c r="F1704">
        <v>0.09</v>
      </c>
      <c r="G1704">
        <v>0.2</v>
      </c>
      <c r="H1704">
        <v>2782</v>
      </c>
      <c r="I1704">
        <v>19</v>
      </c>
    </row>
    <row r="1705" spans="1:9" x14ac:dyDescent="0.3">
      <c r="A1705" s="1">
        <v>46143</v>
      </c>
      <c r="B1705" t="s">
        <v>118</v>
      </c>
      <c r="C1705" t="s">
        <v>36</v>
      </c>
      <c r="D1705">
        <v>19</v>
      </c>
      <c r="E1705">
        <v>2651.6</v>
      </c>
      <c r="F1705">
        <v>0.08</v>
      </c>
      <c r="G1705">
        <v>0.09</v>
      </c>
      <c r="H1705">
        <v>1396</v>
      </c>
      <c r="I1705">
        <v>20</v>
      </c>
    </row>
    <row r="1706" spans="1:9" x14ac:dyDescent="0.3">
      <c r="A1706" s="1">
        <v>46143</v>
      </c>
      <c r="B1706" t="s">
        <v>48</v>
      </c>
      <c r="C1706" t="s">
        <v>36</v>
      </c>
      <c r="D1706">
        <v>18.489999999999998</v>
      </c>
      <c r="E1706">
        <v>1982.99</v>
      </c>
      <c r="F1706">
        <v>0.08</v>
      </c>
      <c r="G1706">
        <v>7.0000000000000007E-2</v>
      </c>
      <c r="H1706">
        <v>1072</v>
      </c>
      <c r="I1706">
        <v>21</v>
      </c>
    </row>
    <row r="1707" spans="1:9" x14ac:dyDescent="0.3">
      <c r="A1707" s="1">
        <v>46143</v>
      </c>
      <c r="B1707" t="s">
        <v>57</v>
      </c>
      <c r="C1707" t="s">
        <v>36</v>
      </c>
      <c r="D1707">
        <v>17.77</v>
      </c>
      <c r="E1707">
        <v>2010.23</v>
      </c>
      <c r="F1707">
        <v>0.08</v>
      </c>
      <c r="G1707">
        <v>7.0000000000000007E-2</v>
      </c>
      <c r="H1707">
        <v>1131</v>
      </c>
      <c r="I1707">
        <v>22</v>
      </c>
    </row>
    <row r="1708" spans="1:9" x14ac:dyDescent="0.3">
      <c r="A1708" s="1">
        <v>46143</v>
      </c>
      <c r="B1708" t="s">
        <v>52</v>
      </c>
      <c r="C1708" t="s">
        <v>36</v>
      </c>
      <c r="D1708">
        <v>14.96</v>
      </c>
      <c r="E1708">
        <v>3212.14</v>
      </c>
      <c r="F1708">
        <v>0.06</v>
      </c>
      <c r="G1708">
        <v>0.11</v>
      </c>
      <c r="H1708">
        <v>2147</v>
      </c>
      <c r="I1708">
        <v>23</v>
      </c>
    </row>
    <row r="1709" spans="1:9" x14ac:dyDescent="0.3">
      <c r="A1709" s="1">
        <v>46143</v>
      </c>
      <c r="B1709" t="s">
        <v>50</v>
      </c>
      <c r="C1709" t="s">
        <v>36</v>
      </c>
      <c r="D1709">
        <v>14.14</v>
      </c>
      <c r="E1709">
        <v>10781.4</v>
      </c>
      <c r="F1709">
        <v>0.06</v>
      </c>
      <c r="G1709">
        <v>0.36</v>
      </c>
      <c r="H1709">
        <v>7625</v>
      </c>
      <c r="I1709">
        <v>24</v>
      </c>
    </row>
    <row r="1710" spans="1:9" x14ac:dyDescent="0.3">
      <c r="A1710" s="1">
        <v>46143</v>
      </c>
      <c r="B1710" t="s">
        <v>56</v>
      </c>
      <c r="C1710" t="s">
        <v>36</v>
      </c>
      <c r="D1710">
        <v>11.08</v>
      </c>
      <c r="E1710">
        <v>750.27</v>
      </c>
      <c r="F1710">
        <v>0.05</v>
      </c>
      <c r="G1710">
        <v>0.03</v>
      </c>
      <c r="H1710">
        <v>677</v>
      </c>
      <c r="I1710">
        <v>25</v>
      </c>
    </row>
    <row r="1711" spans="1:9" x14ac:dyDescent="0.3">
      <c r="A1711" s="1">
        <v>46143</v>
      </c>
      <c r="B1711" t="s">
        <v>122</v>
      </c>
      <c r="C1711" t="s">
        <v>36</v>
      </c>
      <c r="D1711">
        <v>8.9</v>
      </c>
      <c r="E1711">
        <v>178.57</v>
      </c>
      <c r="F1711">
        <v>0.04</v>
      </c>
      <c r="G1711">
        <v>0.01</v>
      </c>
      <c r="H1711">
        <v>201</v>
      </c>
      <c r="I1711">
        <v>26</v>
      </c>
    </row>
    <row r="1712" spans="1:9" x14ac:dyDescent="0.3">
      <c r="A1712" s="1">
        <v>46143</v>
      </c>
      <c r="B1712" t="s">
        <v>58</v>
      </c>
      <c r="C1712" t="s">
        <v>36</v>
      </c>
      <c r="D1712">
        <v>8.0500000000000007</v>
      </c>
      <c r="E1712">
        <v>3194.15</v>
      </c>
      <c r="F1712">
        <v>0.03</v>
      </c>
      <c r="G1712">
        <v>0.11</v>
      </c>
      <c r="H1712">
        <v>3968</v>
      </c>
      <c r="I1712">
        <v>27</v>
      </c>
    </row>
    <row r="1713" spans="1:9" x14ac:dyDescent="0.3">
      <c r="A1713" s="1">
        <v>46143</v>
      </c>
      <c r="B1713" t="s">
        <v>62</v>
      </c>
      <c r="C1713" t="s">
        <v>36</v>
      </c>
      <c r="D1713">
        <v>7.21</v>
      </c>
      <c r="E1713">
        <v>464.12</v>
      </c>
      <c r="F1713">
        <v>0.03</v>
      </c>
      <c r="G1713">
        <v>0.02</v>
      </c>
      <c r="H1713">
        <v>644</v>
      </c>
      <c r="I1713">
        <v>28</v>
      </c>
    </row>
    <row r="1714" spans="1:9" x14ac:dyDescent="0.3">
      <c r="A1714" s="1">
        <v>46143</v>
      </c>
      <c r="B1714" t="s">
        <v>65</v>
      </c>
      <c r="C1714" t="s">
        <v>36</v>
      </c>
      <c r="D1714">
        <v>6.97</v>
      </c>
      <c r="E1714">
        <v>668.6</v>
      </c>
      <c r="F1714">
        <v>0.03</v>
      </c>
      <c r="G1714">
        <v>0.02</v>
      </c>
      <c r="H1714">
        <v>959</v>
      </c>
      <c r="I1714">
        <v>29</v>
      </c>
    </row>
    <row r="1715" spans="1:9" x14ac:dyDescent="0.3">
      <c r="A1715" s="1">
        <v>46143</v>
      </c>
      <c r="B1715" t="s">
        <v>59</v>
      </c>
      <c r="C1715" t="s">
        <v>36</v>
      </c>
      <c r="D1715">
        <v>5.52</v>
      </c>
      <c r="E1715">
        <v>943.28</v>
      </c>
      <c r="F1715">
        <v>0.02</v>
      </c>
      <c r="G1715">
        <v>0.03</v>
      </c>
      <c r="H1715">
        <v>1709</v>
      </c>
      <c r="I1715">
        <v>30</v>
      </c>
    </row>
    <row r="1716" spans="1:9" x14ac:dyDescent="0.3">
      <c r="A1716" s="1">
        <v>46143</v>
      </c>
      <c r="B1716" t="s">
        <v>60</v>
      </c>
      <c r="C1716" t="s">
        <v>36</v>
      </c>
      <c r="D1716">
        <v>4.71</v>
      </c>
      <c r="E1716">
        <v>941.98</v>
      </c>
      <c r="F1716">
        <v>0.02</v>
      </c>
      <c r="G1716">
        <v>0.03</v>
      </c>
      <c r="H1716">
        <v>2000</v>
      </c>
      <c r="I1716">
        <v>31</v>
      </c>
    </row>
    <row r="1717" spans="1:9" x14ac:dyDescent="0.3">
      <c r="A1717" s="1">
        <v>46143</v>
      </c>
      <c r="B1717" t="s">
        <v>71</v>
      </c>
      <c r="C1717" t="s">
        <v>36</v>
      </c>
      <c r="D1717">
        <v>4.3</v>
      </c>
      <c r="E1717">
        <v>585.98</v>
      </c>
      <c r="F1717">
        <v>0.02</v>
      </c>
      <c r="G1717">
        <v>0.02</v>
      </c>
      <c r="H1717">
        <v>1363</v>
      </c>
      <c r="I1717">
        <v>32</v>
      </c>
    </row>
    <row r="1718" spans="1:9" x14ac:dyDescent="0.3">
      <c r="A1718" s="1">
        <v>46143</v>
      </c>
      <c r="B1718" t="s">
        <v>112</v>
      </c>
      <c r="C1718" t="s">
        <v>36</v>
      </c>
      <c r="D1718">
        <v>3.97</v>
      </c>
      <c r="E1718">
        <v>282.43</v>
      </c>
      <c r="F1718">
        <v>0.02</v>
      </c>
      <c r="G1718">
        <v>0.01</v>
      </c>
      <c r="H1718">
        <v>711</v>
      </c>
      <c r="I1718">
        <v>33</v>
      </c>
    </row>
    <row r="1719" spans="1:9" x14ac:dyDescent="0.3">
      <c r="A1719" s="1">
        <v>46143</v>
      </c>
      <c r="B1719" t="s">
        <v>115</v>
      </c>
      <c r="C1719" t="s">
        <v>36</v>
      </c>
      <c r="D1719">
        <v>3.94</v>
      </c>
      <c r="E1719">
        <v>1300.04</v>
      </c>
      <c r="F1719">
        <v>0.02</v>
      </c>
      <c r="G1719">
        <v>0.04</v>
      </c>
      <c r="H1719">
        <v>3300</v>
      </c>
      <c r="I1719">
        <v>34</v>
      </c>
    </row>
    <row r="1720" spans="1:9" x14ac:dyDescent="0.3">
      <c r="A1720" s="1">
        <v>46143</v>
      </c>
      <c r="B1720" t="s">
        <v>61</v>
      </c>
      <c r="C1720" t="s">
        <v>36</v>
      </c>
      <c r="D1720">
        <v>3.82</v>
      </c>
      <c r="E1720">
        <v>1091.47</v>
      </c>
      <c r="F1720">
        <v>0.02</v>
      </c>
      <c r="G1720">
        <v>0.04</v>
      </c>
      <c r="H1720">
        <v>2857</v>
      </c>
      <c r="I1720">
        <v>35</v>
      </c>
    </row>
    <row r="1721" spans="1:9" x14ac:dyDescent="0.3">
      <c r="A1721" s="1">
        <v>46143</v>
      </c>
      <c r="B1721" t="s">
        <v>67</v>
      </c>
      <c r="C1721" t="s">
        <v>36</v>
      </c>
      <c r="D1721">
        <v>3.51</v>
      </c>
      <c r="E1721">
        <v>3036.9</v>
      </c>
      <c r="F1721">
        <v>0.02</v>
      </c>
      <c r="G1721">
        <v>0.1</v>
      </c>
      <c r="H1721">
        <v>8652</v>
      </c>
      <c r="I1721">
        <v>36</v>
      </c>
    </row>
    <row r="1722" spans="1:9" x14ac:dyDescent="0.3">
      <c r="A1722" s="1">
        <v>46143</v>
      </c>
      <c r="B1722" t="s">
        <v>51</v>
      </c>
      <c r="C1722" t="s">
        <v>36</v>
      </c>
      <c r="D1722">
        <v>3.5</v>
      </c>
      <c r="E1722">
        <v>148.13</v>
      </c>
      <c r="F1722">
        <v>0.02</v>
      </c>
      <c r="G1722">
        <v>0</v>
      </c>
      <c r="H1722">
        <v>423</v>
      </c>
      <c r="I1722">
        <v>37</v>
      </c>
    </row>
    <row r="1723" spans="1:9" x14ac:dyDescent="0.3">
      <c r="A1723" s="1">
        <v>46143</v>
      </c>
      <c r="B1723" t="s">
        <v>98</v>
      </c>
      <c r="C1723" t="s">
        <v>36</v>
      </c>
      <c r="D1723">
        <v>2.52</v>
      </c>
      <c r="E1723">
        <v>266.12</v>
      </c>
      <c r="F1723">
        <v>0.01</v>
      </c>
      <c r="G1723">
        <v>0.01</v>
      </c>
      <c r="H1723">
        <v>1056</v>
      </c>
      <c r="I1723">
        <v>38</v>
      </c>
    </row>
    <row r="1724" spans="1:9" x14ac:dyDescent="0.3">
      <c r="A1724" s="1">
        <v>46143</v>
      </c>
      <c r="B1724" t="s">
        <v>82</v>
      </c>
      <c r="C1724" t="s">
        <v>36</v>
      </c>
      <c r="D1724">
        <v>2.46</v>
      </c>
      <c r="E1724">
        <v>511.62</v>
      </c>
      <c r="F1724">
        <v>0.01</v>
      </c>
      <c r="G1724">
        <v>0.02</v>
      </c>
      <c r="H1724">
        <v>2080</v>
      </c>
      <c r="I1724">
        <v>39</v>
      </c>
    </row>
    <row r="1725" spans="1:9" x14ac:dyDescent="0.3">
      <c r="A1725" s="1">
        <v>46143</v>
      </c>
      <c r="B1725" t="s">
        <v>83</v>
      </c>
      <c r="C1725" t="s">
        <v>36</v>
      </c>
      <c r="D1725">
        <v>2.11</v>
      </c>
      <c r="E1725">
        <v>15.62</v>
      </c>
      <c r="F1725">
        <v>0.01</v>
      </c>
      <c r="G1725">
        <v>0</v>
      </c>
      <c r="H1725">
        <v>74</v>
      </c>
      <c r="I1725">
        <v>40</v>
      </c>
    </row>
    <row r="1726" spans="1:9" x14ac:dyDescent="0.3">
      <c r="A1726" s="1">
        <v>46143</v>
      </c>
      <c r="B1726" t="s">
        <v>68</v>
      </c>
      <c r="C1726" t="s">
        <v>36</v>
      </c>
      <c r="D1726">
        <v>1.91</v>
      </c>
      <c r="E1726">
        <v>103.33</v>
      </c>
      <c r="F1726">
        <v>0.01</v>
      </c>
      <c r="G1726">
        <v>0</v>
      </c>
      <c r="H1726">
        <v>541</v>
      </c>
      <c r="I1726">
        <v>41</v>
      </c>
    </row>
    <row r="1727" spans="1:9" x14ac:dyDescent="0.3">
      <c r="A1727" s="1">
        <v>46143</v>
      </c>
      <c r="B1727" t="s">
        <v>63</v>
      </c>
      <c r="C1727" t="s">
        <v>36</v>
      </c>
      <c r="D1727">
        <v>1.86</v>
      </c>
      <c r="E1727">
        <v>522.28</v>
      </c>
      <c r="F1727">
        <v>0.01</v>
      </c>
      <c r="G1727">
        <v>0.02</v>
      </c>
      <c r="H1727">
        <v>2808</v>
      </c>
      <c r="I1727">
        <v>42</v>
      </c>
    </row>
    <row r="1728" spans="1:9" x14ac:dyDescent="0.3">
      <c r="A1728" s="1">
        <v>46143</v>
      </c>
      <c r="B1728" t="s">
        <v>69</v>
      </c>
      <c r="C1728" t="s">
        <v>36</v>
      </c>
      <c r="D1728">
        <v>1.73</v>
      </c>
      <c r="E1728">
        <v>501.14</v>
      </c>
      <c r="F1728">
        <v>0.01</v>
      </c>
      <c r="G1728">
        <v>0.02</v>
      </c>
      <c r="H1728">
        <v>2897</v>
      </c>
      <c r="I1728">
        <v>43</v>
      </c>
    </row>
    <row r="1729" spans="1:9" x14ac:dyDescent="0.3">
      <c r="A1729" s="1">
        <v>46143</v>
      </c>
      <c r="B1729" t="s">
        <v>64</v>
      </c>
      <c r="C1729" t="s">
        <v>36</v>
      </c>
      <c r="D1729">
        <v>1.72</v>
      </c>
      <c r="E1729">
        <v>492</v>
      </c>
      <c r="F1729">
        <v>0.01</v>
      </c>
      <c r="G1729">
        <v>0.02</v>
      </c>
      <c r="H1729">
        <v>2860</v>
      </c>
      <c r="I1729">
        <v>44</v>
      </c>
    </row>
    <row r="1730" spans="1:9" x14ac:dyDescent="0.3">
      <c r="A1730" s="1">
        <v>46143</v>
      </c>
      <c r="B1730" t="s">
        <v>87</v>
      </c>
      <c r="C1730" t="s">
        <v>36</v>
      </c>
      <c r="D1730">
        <v>1.69</v>
      </c>
      <c r="E1730">
        <v>258.04000000000002</v>
      </c>
      <c r="F1730">
        <v>0.01</v>
      </c>
      <c r="G1730">
        <v>0.01</v>
      </c>
      <c r="H1730">
        <v>1527</v>
      </c>
      <c r="I1730">
        <v>45</v>
      </c>
    </row>
    <row r="1731" spans="1:9" x14ac:dyDescent="0.3">
      <c r="A1731" s="1">
        <v>46143</v>
      </c>
      <c r="B1731" t="s">
        <v>76</v>
      </c>
      <c r="C1731" t="s">
        <v>36</v>
      </c>
      <c r="D1731">
        <v>1.63</v>
      </c>
      <c r="E1731">
        <v>194.3</v>
      </c>
      <c r="F1731">
        <v>0.01</v>
      </c>
      <c r="G1731">
        <v>0.01</v>
      </c>
      <c r="H1731">
        <v>1192</v>
      </c>
      <c r="I1731">
        <v>46</v>
      </c>
    </row>
    <row r="1732" spans="1:9" x14ac:dyDescent="0.3">
      <c r="A1732" s="1">
        <v>46143</v>
      </c>
      <c r="B1732" t="s">
        <v>79</v>
      </c>
      <c r="C1732" t="s">
        <v>36</v>
      </c>
      <c r="D1732">
        <v>1.58</v>
      </c>
      <c r="E1732">
        <v>553.34</v>
      </c>
      <c r="F1732">
        <v>0.01</v>
      </c>
      <c r="G1732">
        <v>0.02</v>
      </c>
      <c r="H1732">
        <v>3502</v>
      </c>
      <c r="I1732">
        <v>47</v>
      </c>
    </row>
    <row r="1733" spans="1:9" x14ac:dyDescent="0.3">
      <c r="A1733" s="1">
        <v>46143</v>
      </c>
      <c r="B1733" t="s">
        <v>80</v>
      </c>
      <c r="C1733" t="s">
        <v>36</v>
      </c>
      <c r="D1733">
        <v>1.17</v>
      </c>
      <c r="E1733">
        <v>215.21</v>
      </c>
      <c r="F1733">
        <v>0.01</v>
      </c>
      <c r="G1733">
        <v>0.01</v>
      </c>
      <c r="H1733">
        <v>1839</v>
      </c>
      <c r="I1733">
        <v>48</v>
      </c>
    </row>
    <row r="1734" spans="1:9" x14ac:dyDescent="0.3">
      <c r="A1734" s="1">
        <v>46143</v>
      </c>
      <c r="B1734" t="s">
        <v>121</v>
      </c>
      <c r="C1734" t="s">
        <v>36</v>
      </c>
      <c r="D1734">
        <v>1.06</v>
      </c>
      <c r="E1734">
        <v>31.76</v>
      </c>
      <c r="F1734">
        <v>0</v>
      </c>
      <c r="G1734">
        <v>0</v>
      </c>
      <c r="H1734">
        <v>300</v>
      </c>
      <c r="I1734">
        <v>49</v>
      </c>
    </row>
    <row r="1735" spans="1:9" x14ac:dyDescent="0.3">
      <c r="A1735" s="1">
        <v>46143</v>
      </c>
      <c r="B1735" t="s">
        <v>66</v>
      </c>
      <c r="C1735" t="s">
        <v>36</v>
      </c>
      <c r="D1735">
        <v>1.02</v>
      </c>
      <c r="E1735">
        <v>18.079999999999998</v>
      </c>
      <c r="F1735">
        <v>0</v>
      </c>
      <c r="G1735">
        <v>0</v>
      </c>
      <c r="H1735">
        <v>177</v>
      </c>
      <c r="I1735">
        <v>50</v>
      </c>
    </row>
    <row r="1736" spans="1:9" x14ac:dyDescent="0.3">
      <c r="A1736" s="1">
        <v>46143</v>
      </c>
      <c r="B1736" t="s">
        <v>73</v>
      </c>
      <c r="C1736" t="s">
        <v>36</v>
      </c>
      <c r="D1736">
        <v>1</v>
      </c>
      <c r="E1736">
        <v>310.33999999999997</v>
      </c>
      <c r="F1736">
        <v>0</v>
      </c>
      <c r="G1736">
        <v>0.01</v>
      </c>
      <c r="H1736">
        <v>3103</v>
      </c>
      <c r="I1736">
        <v>51</v>
      </c>
    </row>
    <row r="1737" spans="1:9" x14ac:dyDescent="0.3">
      <c r="A1737" s="1">
        <v>46143</v>
      </c>
      <c r="B1737" t="s">
        <v>78</v>
      </c>
      <c r="C1737" t="s">
        <v>36</v>
      </c>
      <c r="D1737">
        <v>0.97</v>
      </c>
      <c r="E1737">
        <v>304.17</v>
      </c>
      <c r="F1737">
        <v>0</v>
      </c>
      <c r="G1737">
        <v>0.01</v>
      </c>
      <c r="H1737">
        <v>3136</v>
      </c>
      <c r="I1737">
        <v>52</v>
      </c>
    </row>
    <row r="1738" spans="1:9" x14ac:dyDescent="0.3">
      <c r="A1738" s="1">
        <v>46143</v>
      </c>
      <c r="B1738" t="s">
        <v>74</v>
      </c>
      <c r="C1738" t="s">
        <v>36</v>
      </c>
      <c r="D1738">
        <v>0.94</v>
      </c>
      <c r="E1738">
        <v>299.51</v>
      </c>
      <c r="F1738">
        <v>0</v>
      </c>
      <c r="G1738">
        <v>0.01</v>
      </c>
      <c r="H1738">
        <v>3186</v>
      </c>
      <c r="I1738">
        <v>53</v>
      </c>
    </row>
    <row r="1739" spans="1:9" x14ac:dyDescent="0.3">
      <c r="A1739" s="1">
        <v>46143</v>
      </c>
      <c r="B1739" t="s">
        <v>72</v>
      </c>
      <c r="C1739" t="s">
        <v>36</v>
      </c>
      <c r="D1739">
        <v>0.91</v>
      </c>
      <c r="E1739">
        <v>20.37</v>
      </c>
      <c r="F1739">
        <v>0</v>
      </c>
      <c r="G1739">
        <v>0</v>
      </c>
      <c r="H1739">
        <v>224</v>
      </c>
      <c r="I1739">
        <v>54</v>
      </c>
    </row>
    <row r="1740" spans="1:9" x14ac:dyDescent="0.3">
      <c r="A1740" s="1">
        <v>46143</v>
      </c>
      <c r="B1740" t="s">
        <v>102</v>
      </c>
      <c r="C1740" t="s">
        <v>36</v>
      </c>
      <c r="D1740">
        <v>0.84</v>
      </c>
      <c r="E1740">
        <v>78.849999999999994</v>
      </c>
      <c r="F1740">
        <v>0</v>
      </c>
      <c r="G1740">
        <v>0</v>
      </c>
      <c r="H1740">
        <v>939</v>
      </c>
      <c r="I1740">
        <v>55</v>
      </c>
    </row>
    <row r="1741" spans="1:9" x14ac:dyDescent="0.3">
      <c r="A1741" s="1">
        <v>46143</v>
      </c>
      <c r="B1741" t="s">
        <v>114</v>
      </c>
      <c r="C1741" t="s">
        <v>36</v>
      </c>
      <c r="D1741">
        <v>0.8</v>
      </c>
      <c r="E1741">
        <v>67.709999999999994</v>
      </c>
      <c r="F1741">
        <v>0</v>
      </c>
      <c r="G1741">
        <v>0</v>
      </c>
      <c r="H1741">
        <v>846</v>
      </c>
      <c r="I1741">
        <v>56</v>
      </c>
    </row>
    <row r="1742" spans="1:9" x14ac:dyDescent="0.3">
      <c r="A1742" s="1">
        <v>46143</v>
      </c>
      <c r="B1742" t="s">
        <v>103</v>
      </c>
      <c r="C1742" t="s">
        <v>36</v>
      </c>
      <c r="D1742">
        <v>0.74</v>
      </c>
      <c r="E1742">
        <v>86.1</v>
      </c>
      <c r="F1742">
        <v>0</v>
      </c>
      <c r="G1742">
        <v>0</v>
      </c>
      <c r="H1742">
        <v>1164</v>
      </c>
      <c r="I1742">
        <v>57</v>
      </c>
    </row>
    <row r="1743" spans="1:9" x14ac:dyDescent="0.3">
      <c r="A1743" s="1">
        <v>46143</v>
      </c>
      <c r="B1743" t="s">
        <v>77</v>
      </c>
      <c r="C1743" t="s">
        <v>36</v>
      </c>
      <c r="D1743">
        <v>0.72</v>
      </c>
      <c r="E1743">
        <v>66.56</v>
      </c>
      <c r="F1743">
        <v>0</v>
      </c>
      <c r="G1743">
        <v>0</v>
      </c>
      <c r="H1743">
        <v>924</v>
      </c>
      <c r="I1743">
        <v>58</v>
      </c>
    </row>
    <row r="1744" spans="1:9" x14ac:dyDescent="0.3">
      <c r="A1744" s="1">
        <v>46143</v>
      </c>
      <c r="B1744" t="s">
        <v>84</v>
      </c>
      <c r="C1744" t="s">
        <v>36</v>
      </c>
      <c r="D1744">
        <v>0.64</v>
      </c>
      <c r="E1744">
        <v>173.06</v>
      </c>
      <c r="F1744">
        <v>0</v>
      </c>
      <c r="G1744">
        <v>0.01</v>
      </c>
      <c r="H1744">
        <v>2704</v>
      </c>
      <c r="I1744">
        <v>59</v>
      </c>
    </row>
    <row r="1745" spans="1:9" x14ac:dyDescent="0.3">
      <c r="A1745" s="1">
        <v>46143</v>
      </c>
      <c r="B1745" t="s">
        <v>81</v>
      </c>
      <c r="C1745" t="s">
        <v>36</v>
      </c>
      <c r="D1745">
        <v>0.57999999999999996</v>
      </c>
      <c r="E1745">
        <v>67.349999999999994</v>
      </c>
      <c r="F1745">
        <v>0</v>
      </c>
      <c r="G1745">
        <v>0</v>
      </c>
      <c r="H1745">
        <v>1161</v>
      </c>
      <c r="I1745">
        <v>60</v>
      </c>
    </row>
    <row r="1746" spans="1:9" x14ac:dyDescent="0.3">
      <c r="A1746" s="1">
        <v>46143</v>
      </c>
      <c r="B1746" t="s">
        <v>97</v>
      </c>
      <c r="C1746" t="s">
        <v>36</v>
      </c>
      <c r="D1746">
        <v>0.57999999999999996</v>
      </c>
      <c r="E1746">
        <v>33.520000000000003</v>
      </c>
      <c r="F1746">
        <v>0</v>
      </c>
      <c r="G1746">
        <v>0</v>
      </c>
      <c r="H1746">
        <v>578</v>
      </c>
      <c r="I1746">
        <v>60</v>
      </c>
    </row>
    <row r="1747" spans="1:9" x14ac:dyDescent="0.3">
      <c r="A1747" s="1">
        <v>46143</v>
      </c>
      <c r="B1747" t="s">
        <v>75</v>
      </c>
      <c r="C1747" t="s">
        <v>36</v>
      </c>
      <c r="D1747">
        <v>0.56999999999999995</v>
      </c>
      <c r="E1747">
        <v>209.67</v>
      </c>
      <c r="F1747">
        <v>0</v>
      </c>
      <c r="G1747">
        <v>0.01</v>
      </c>
      <c r="H1747">
        <v>3678</v>
      </c>
      <c r="I1747">
        <v>62</v>
      </c>
    </row>
    <row r="1748" spans="1:9" x14ac:dyDescent="0.3">
      <c r="A1748" s="1">
        <v>46143</v>
      </c>
      <c r="B1748" t="s">
        <v>70</v>
      </c>
      <c r="C1748" t="s">
        <v>36</v>
      </c>
      <c r="D1748">
        <v>0.56000000000000005</v>
      </c>
      <c r="E1748">
        <v>195.17</v>
      </c>
      <c r="F1748">
        <v>0</v>
      </c>
      <c r="G1748">
        <v>0.01</v>
      </c>
      <c r="H1748">
        <v>3485</v>
      </c>
      <c r="I1748">
        <v>63</v>
      </c>
    </row>
    <row r="1749" spans="1:9" x14ac:dyDescent="0.3">
      <c r="A1749" s="1">
        <v>46143</v>
      </c>
      <c r="B1749" t="s">
        <v>100</v>
      </c>
      <c r="C1749" t="s">
        <v>36</v>
      </c>
      <c r="D1749">
        <v>0.55000000000000004</v>
      </c>
      <c r="E1749">
        <v>675.77</v>
      </c>
      <c r="F1749">
        <v>0</v>
      </c>
      <c r="G1749">
        <v>0.02</v>
      </c>
      <c r="H1749">
        <v>12287</v>
      </c>
      <c r="I1749">
        <v>64</v>
      </c>
    </row>
    <row r="1750" spans="1:9" x14ac:dyDescent="0.3">
      <c r="A1750" s="1">
        <v>46143</v>
      </c>
      <c r="B1750" t="s">
        <v>113</v>
      </c>
      <c r="C1750" t="s">
        <v>36</v>
      </c>
      <c r="D1750">
        <v>0.46</v>
      </c>
      <c r="E1750">
        <v>38.68</v>
      </c>
      <c r="F1750">
        <v>0</v>
      </c>
      <c r="G1750">
        <v>0</v>
      </c>
      <c r="H1750">
        <v>841</v>
      </c>
      <c r="I1750">
        <v>65</v>
      </c>
    </row>
    <row r="1751" spans="1:9" x14ac:dyDescent="0.3">
      <c r="A1751" s="1">
        <v>46143</v>
      </c>
      <c r="B1751" t="s">
        <v>85</v>
      </c>
      <c r="C1751" t="s">
        <v>36</v>
      </c>
      <c r="D1751">
        <v>0.36</v>
      </c>
      <c r="E1751">
        <v>106.92</v>
      </c>
      <c r="F1751">
        <v>0</v>
      </c>
      <c r="G1751">
        <v>0</v>
      </c>
      <c r="H1751">
        <v>2970</v>
      </c>
      <c r="I1751">
        <v>66</v>
      </c>
    </row>
    <row r="1752" spans="1:9" x14ac:dyDescent="0.3">
      <c r="A1752" s="1">
        <v>46143</v>
      </c>
      <c r="B1752" t="s">
        <v>127</v>
      </c>
      <c r="C1752" t="s">
        <v>36</v>
      </c>
      <c r="D1752">
        <v>0.31</v>
      </c>
      <c r="E1752">
        <v>40.03</v>
      </c>
      <c r="F1752">
        <v>0</v>
      </c>
      <c r="G1752">
        <v>0</v>
      </c>
      <c r="H1752">
        <v>1291</v>
      </c>
      <c r="I1752">
        <v>67</v>
      </c>
    </row>
    <row r="1753" spans="1:9" x14ac:dyDescent="0.3">
      <c r="A1753" s="1">
        <v>46143</v>
      </c>
      <c r="B1753" t="s">
        <v>89</v>
      </c>
      <c r="C1753" t="s">
        <v>36</v>
      </c>
      <c r="D1753">
        <v>0.31</v>
      </c>
      <c r="E1753">
        <v>111.41</v>
      </c>
      <c r="F1753">
        <v>0</v>
      </c>
      <c r="G1753">
        <v>0</v>
      </c>
      <c r="H1753">
        <v>3594</v>
      </c>
      <c r="I1753">
        <v>67</v>
      </c>
    </row>
    <row r="1754" spans="1:9" x14ac:dyDescent="0.3">
      <c r="A1754" s="1">
        <v>46143</v>
      </c>
      <c r="B1754" t="s">
        <v>117</v>
      </c>
      <c r="C1754" t="s">
        <v>36</v>
      </c>
      <c r="D1754">
        <v>0.28999999999999998</v>
      </c>
      <c r="E1754">
        <v>46.01</v>
      </c>
      <c r="F1754">
        <v>0</v>
      </c>
      <c r="G1754">
        <v>0</v>
      </c>
      <c r="H1754">
        <v>1587</v>
      </c>
      <c r="I1754">
        <v>69</v>
      </c>
    </row>
    <row r="1755" spans="1:9" x14ac:dyDescent="0.3">
      <c r="A1755" s="1">
        <v>46143</v>
      </c>
      <c r="B1755" t="s">
        <v>88</v>
      </c>
      <c r="C1755" t="s">
        <v>36</v>
      </c>
      <c r="D1755">
        <v>0.26</v>
      </c>
      <c r="E1755">
        <v>70.11</v>
      </c>
      <c r="F1755">
        <v>0</v>
      </c>
      <c r="G1755">
        <v>0</v>
      </c>
      <c r="H1755">
        <v>2697</v>
      </c>
      <c r="I1755">
        <v>70</v>
      </c>
    </row>
    <row r="1756" spans="1:9" x14ac:dyDescent="0.3">
      <c r="A1756" s="1">
        <v>46143</v>
      </c>
      <c r="B1756" t="s">
        <v>94</v>
      </c>
      <c r="C1756" t="s">
        <v>36</v>
      </c>
      <c r="D1756">
        <v>0.26</v>
      </c>
      <c r="E1756">
        <v>19.3</v>
      </c>
      <c r="F1756">
        <v>0</v>
      </c>
      <c r="G1756">
        <v>0</v>
      </c>
      <c r="H1756">
        <v>742</v>
      </c>
      <c r="I1756">
        <v>70</v>
      </c>
    </row>
    <row r="1757" spans="1:9" x14ac:dyDescent="0.3">
      <c r="A1757" s="1">
        <v>46143</v>
      </c>
      <c r="B1757" t="s">
        <v>93</v>
      </c>
      <c r="C1757" t="s">
        <v>36</v>
      </c>
      <c r="D1757">
        <v>0.24</v>
      </c>
      <c r="E1757">
        <v>117.73</v>
      </c>
      <c r="F1757">
        <v>0</v>
      </c>
      <c r="G1757">
        <v>0</v>
      </c>
      <c r="H1757">
        <v>4905</v>
      </c>
      <c r="I1757">
        <v>72</v>
      </c>
    </row>
    <row r="1758" spans="1:9" x14ac:dyDescent="0.3">
      <c r="A1758" s="1">
        <v>46143</v>
      </c>
      <c r="B1758" t="s">
        <v>99</v>
      </c>
      <c r="C1758" t="s">
        <v>36</v>
      </c>
      <c r="D1758">
        <v>0.21</v>
      </c>
      <c r="E1758">
        <v>7.56</v>
      </c>
      <c r="F1758">
        <v>0</v>
      </c>
      <c r="G1758">
        <v>0</v>
      </c>
      <c r="H1758">
        <v>360</v>
      </c>
      <c r="I1758">
        <v>73</v>
      </c>
    </row>
    <row r="1759" spans="1:9" x14ac:dyDescent="0.3">
      <c r="A1759" s="1">
        <v>46143</v>
      </c>
      <c r="B1759" t="s">
        <v>95</v>
      </c>
      <c r="C1759" t="s">
        <v>36</v>
      </c>
      <c r="D1759">
        <v>0.17</v>
      </c>
      <c r="E1759">
        <v>63.07</v>
      </c>
      <c r="F1759">
        <v>0</v>
      </c>
      <c r="G1759">
        <v>0</v>
      </c>
      <c r="H1759">
        <v>3710</v>
      </c>
      <c r="I1759">
        <v>74</v>
      </c>
    </row>
    <row r="1760" spans="1:9" x14ac:dyDescent="0.3">
      <c r="A1760" s="1">
        <v>46143</v>
      </c>
      <c r="B1760" t="s">
        <v>130</v>
      </c>
      <c r="C1760" t="s">
        <v>36</v>
      </c>
      <c r="D1760">
        <v>0.16</v>
      </c>
      <c r="E1760">
        <v>65.900000000000006</v>
      </c>
      <c r="F1760">
        <v>0</v>
      </c>
      <c r="G1760">
        <v>0</v>
      </c>
      <c r="H1760">
        <v>4119</v>
      </c>
      <c r="I1760">
        <v>75</v>
      </c>
    </row>
    <row r="1761" spans="1:9" x14ac:dyDescent="0.3">
      <c r="A1761" s="1">
        <v>46143</v>
      </c>
      <c r="B1761" t="s">
        <v>90</v>
      </c>
      <c r="C1761" t="s">
        <v>36</v>
      </c>
      <c r="D1761">
        <v>0.16</v>
      </c>
      <c r="E1761">
        <v>7.93</v>
      </c>
      <c r="F1761">
        <v>0</v>
      </c>
      <c r="G1761">
        <v>0</v>
      </c>
      <c r="H1761">
        <v>496</v>
      </c>
      <c r="I1761">
        <v>75</v>
      </c>
    </row>
    <row r="1762" spans="1:9" x14ac:dyDescent="0.3">
      <c r="A1762" s="1">
        <v>46143</v>
      </c>
      <c r="B1762" t="s">
        <v>101</v>
      </c>
      <c r="C1762" t="s">
        <v>36</v>
      </c>
      <c r="D1762">
        <v>0.13</v>
      </c>
      <c r="E1762">
        <v>43.34</v>
      </c>
      <c r="F1762">
        <v>0</v>
      </c>
      <c r="G1762">
        <v>0</v>
      </c>
      <c r="H1762">
        <v>3334</v>
      </c>
      <c r="I1762">
        <v>77</v>
      </c>
    </row>
    <row r="1763" spans="1:9" x14ac:dyDescent="0.3">
      <c r="A1763" s="1">
        <v>46143</v>
      </c>
      <c r="B1763" t="s">
        <v>96</v>
      </c>
      <c r="C1763" t="s">
        <v>36</v>
      </c>
      <c r="D1763">
        <v>0.11</v>
      </c>
      <c r="E1763">
        <v>44.44</v>
      </c>
      <c r="F1763">
        <v>0</v>
      </c>
      <c r="G1763">
        <v>0</v>
      </c>
      <c r="H1763">
        <v>4040</v>
      </c>
      <c r="I1763">
        <v>78</v>
      </c>
    </row>
    <row r="1764" spans="1:9" x14ac:dyDescent="0.3">
      <c r="A1764" s="1">
        <v>46143</v>
      </c>
      <c r="B1764" t="s">
        <v>116</v>
      </c>
      <c r="C1764" t="s">
        <v>36</v>
      </c>
      <c r="D1764">
        <v>0.1</v>
      </c>
      <c r="E1764">
        <v>35.72</v>
      </c>
      <c r="F1764">
        <v>0</v>
      </c>
      <c r="G1764">
        <v>0</v>
      </c>
      <c r="H1764">
        <v>3572</v>
      </c>
      <c r="I1764">
        <v>79</v>
      </c>
    </row>
    <row r="1765" spans="1:9" x14ac:dyDescent="0.3">
      <c r="A1765" s="1">
        <v>46143</v>
      </c>
      <c r="B1765" t="s">
        <v>128</v>
      </c>
      <c r="C1765" t="s">
        <v>36</v>
      </c>
      <c r="D1765">
        <v>0.08</v>
      </c>
      <c r="E1765">
        <v>15.21</v>
      </c>
      <c r="F1765">
        <v>0</v>
      </c>
      <c r="G1765">
        <v>0</v>
      </c>
      <c r="H1765">
        <v>1901</v>
      </c>
      <c r="I1765">
        <v>80</v>
      </c>
    </row>
    <row r="1766" spans="1:9" x14ac:dyDescent="0.3">
      <c r="A1766" s="1">
        <v>46143</v>
      </c>
      <c r="B1766" t="s">
        <v>86</v>
      </c>
      <c r="C1766" t="s">
        <v>36</v>
      </c>
      <c r="D1766">
        <v>0.08</v>
      </c>
      <c r="E1766">
        <v>28.22</v>
      </c>
      <c r="F1766">
        <v>0</v>
      </c>
      <c r="G1766">
        <v>0</v>
      </c>
      <c r="H1766">
        <v>3528</v>
      </c>
      <c r="I1766">
        <v>80</v>
      </c>
    </row>
    <row r="1767" spans="1:9" x14ac:dyDescent="0.3">
      <c r="A1767" s="1">
        <v>46143</v>
      </c>
      <c r="B1767" t="s">
        <v>105</v>
      </c>
      <c r="C1767" t="s">
        <v>36</v>
      </c>
      <c r="D1767">
        <v>0.08</v>
      </c>
      <c r="E1767">
        <v>20.98</v>
      </c>
      <c r="F1767">
        <v>0</v>
      </c>
      <c r="G1767">
        <v>0</v>
      </c>
      <c r="H1767">
        <v>2623</v>
      </c>
      <c r="I1767">
        <v>80</v>
      </c>
    </row>
    <row r="1768" spans="1:9" x14ac:dyDescent="0.3">
      <c r="A1768" s="1">
        <v>46143</v>
      </c>
      <c r="B1768" t="s">
        <v>119</v>
      </c>
      <c r="C1768" t="s">
        <v>36</v>
      </c>
      <c r="D1768">
        <v>7.0000000000000007E-2</v>
      </c>
      <c r="E1768">
        <v>6.79</v>
      </c>
      <c r="F1768">
        <v>0</v>
      </c>
      <c r="G1768">
        <v>0</v>
      </c>
      <c r="H1768">
        <v>970</v>
      </c>
      <c r="I1768">
        <v>83</v>
      </c>
    </row>
    <row r="1769" spans="1:9" x14ac:dyDescent="0.3">
      <c r="A1769" s="1">
        <v>46143</v>
      </c>
      <c r="B1769" t="s">
        <v>125</v>
      </c>
      <c r="C1769" t="s">
        <v>36</v>
      </c>
      <c r="D1769">
        <v>0.06</v>
      </c>
      <c r="E1769">
        <v>4.17</v>
      </c>
      <c r="F1769">
        <v>0</v>
      </c>
      <c r="G1769">
        <v>0</v>
      </c>
      <c r="H1769">
        <v>695</v>
      </c>
      <c r="I1769">
        <v>84</v>
      </c>
    </row>
    <row r="1770" spans="1:9" x14ac:dyDescent="0.3">
      <c r="A1770" s="1">
        <v>46143</v>
      </c>
      <c r="B1770" t="s">
        <v>126</v>
      </c>
      <c r="C1770" t="s">
        <v>36</v>
      </c>
      <c r="D1770">
        <v>0.06</v>
      </c>
      <c r="E1770">
        <v>5.09</v>
      </c>
      <c r="F1770">
        <v>0</v>
      </c>
      <c r="G1770">
        <v>0</v>
      </c>
      <c r="H1770">
        <v>848</v>
      </c>
      <c r="I1770">
        <v>84</v>
      </c>
    </row>
    <row r="1771" spans="1:9" x14ac:dyDescent="0.3">
      <c r="A1771" s="1">
        <v>46143</v>
      </c>
      <c r="B1771" t="s">
        <v>91</v>
      </c>
      <c r="C1771" t="s">
        <v>36</v>
      </c>
      <c r="D1771">
        <v>0.05</v>
      </c>
      <c r="E1771">
        <v>4.1500000000000004</v>
      </c>
      <c r="F1771">
        <v>0</v>
      </c>
      <c r="G1771">
        <v>0</v>
      </c>
      <c r="H1771">
        <v>830</v>
      </c>
      <c r="I1771">
        <v>86</v>
      </c>
    </row>
    <row r="1772" spans="1:9" x14ac:dyDescent="0.3">
      <c r="A1772" s="1">
        <v>46143</v>
      </c>
      <c r="B1772" t="s">
        <v>110</v>
      </c>
      <c r="C1772" t="s">
        <v>36</v>
      </c>
      <c r="D1772">
        <v>0.04</v>
      </c>
      <c r="E1772">
        <v>3.87</v>
      </c>
      <c r="F1772">
        <v>0</v>
      </c>
      <c r="G1772">
        <v>0</v>
      </c>
      <c r="H1772">
        <v>968</v>
      </c>
      <c r="I1772">
        <v>87</v>
      </c>
    </row>
    <row r="1773" spans="1:9" x14ac:dyDescent="0.3">
      <c r="A1773" s="1">
        <v>46143</v>
      </c>
      <c r="B1773" t="s">
        <v>104</v>
      </c>
      <c r="C1773" t="s">
        <v>36</v>
      </c>
      <c r="D1773">
        <v>0.03</v>
      </c>
      <c r="E1773">
        <v>15.3</v>
      </c>
      <c r="F1773">
        <v>0</v>
      </c>
      <c r="G1773">
        <v>0</v>
      </c>
      <c r="H1773">
        <v>5100</v>
      </c>
      <c r="I1773">
        <v>88</v>
      </c>
    </row>
    <row r="1774" spans="1:9" x14ac:dyDescent="0.3">
      <c r="A1774" s="1">
        <v>46143</v>
      </c>
      <c r="B1774" t="s">
        <v>129</v>
      </c>
      <c r="C1774" t="s">
        <v>36</v>
      </c>
      <c r="D1774">
        <v>0.03</v>
      </c>
      <c r="E1774">
        <v>2.75</v>
      </c>
      <c r="F1774">
        <v>0</v>
      </c>
      <c r="G1774">
        <v>0</v>
      </c>
      <c r="H1774">
        <v>917</v>
      </c>
      <c r="I1774">
        <v>88</v>
      </c>
    </row>
    <row r="1775" spans="1:9" x14ac:dyDescent="0.3">
      <c r="A1775" s="1">
        <v>46143</v>
      </c>
      <c r="B1775" t="s">
        <v>131</v>
      </c>
      <c r="C1775" t="s">
        <v>36</v>
      </c>
      <c r="D1775">
        <v>0.02</v>
      </c>
      <c r="E1775">
        <v>5.32</v>
      </c>
      <c r="F1775">
        <v>0</v>
      </c>
      <c r="G1775">
        <v>0</v>
      </c>
      <c r="H1775">
        <v>2660</v>
      </c>
      <c r="I1775">
        <v>90</v>
      </c>
    </row>
    <row r="1776" spans="1:9" x14ac:dyDescent="0.3">
      <c r="A1776" s="1">
        <v>46174</v>
      </c>
      <c r="B1776" t="s">
        <v>32</v>
      </c>
      <c r="C1776" t="s">
        <v>32</v>
      </c>
      <c r="D1776">
        <v>10483.73</v>
      </c>
      <c r="E1776">
        <v>1419193.39</v>
      </c>
      <c r="F1776">
        <v>46.15</v>
      </c>
      <c r="G1776">
        <v>49.07</v>
      </c>
      <c r="H1776">
        <v>1354</v>
      </c>
      <c r="I1776">
        <v>1</v>
      </c>
    </row>
    <row r="1777" spans="1:9" x14ac:dyDescent="0.3">
      <c r="A1777" s="1">
        <v>46174</v>
      </c>
      <c r="B1777" t="s">
        <v>33</v>
      </c>
      <c r="C1777" t="s">
        <v>33</v>
      </c>
      <c r="D1777">
        <v>7407.71</v>
      </c>
      <c r="E1777">
        <v>967055.79</v>
      </c>
      <c r="F1777">
        <v>32.61</v>
      </c>
      <c r="G1777">
        <v>33.44</v>
      </c>
      <c r="H1777">
        <v>1305</v>
      </c>
      <c r="I1777">
        <v>2</v>
      </c>
    </row>
    <row r="1778" spans="1:9" x14ac:dyDescent="0.3">
      <c r="A1778" s="1">
        <v>46174</v>
      </c>
      <c r="B1778" t="s">
        <v>34</v>
      </c>
      <c r="C1778" t="s">
        <v>34</v>
      </c>
      <c r="D1778">
        <v>1798.84</v>
      </c>
      <c r="E1778">
        <v>192617.38</v>
      </c>
      <c r="F1778">
        <v>7.92</v>
      </c>
      <c r="G1778">
        <v>6.66</v>
      </c>
      <c r="H1778">
        <v>1071</v>
      </c>
      <c r="I1778">
        <v>3</v>
      </c>
    </row>
    <row r="1779" spans="1:9" x14ac:dyDescent="0.3">
      <c r="A1779" s="1">
        <v>46174</v>
      </c>
      <c r="B1779" t="s">
        <v>37</v>
      </c>
      <c r="C1779" t="s">
        <v>36</v>
      </c>
      <c r="D1779">
        <v>842.51</v>
      </c>
      <c r="E1779">
        <v>43948.56</v>
      </c>
      <c r="F1779">
        <v>3.71</v>
      </c>
      <c r="G1779">
        <v>1.52</v>
      </c>
      <c r="H1779">
        <v>522</v>
      </c>
      <c r="I1779">
        <v>4</v>
      </c>
    </row>
    <row r="1780" spans="1:9" x14ac:dyDescent="0.3">
      <c r="A1780" s="1">
        <v>46174</v>
      </c>
      <c r="B1780" t="s">
        <v>47</v>
      </c>
      <c r="C1780" t="s">
        <v>36</v>
      </c>
      <c r="D1780">
        <v>430.24</v>
      </c>
      <c r="E1780">
        <v>20252.400000000001</v>
      </c>
      <c r="F1780">
        <v>1.89</v>
      </c>
      <c r="G1780">
        <v>0.7</v>
      </c>
      <c r="H1780">
        <v>471</v>
      </c>
      <c r="I1780">
        <v>5</v>
      </c>
    </row>
    <row r="1781" spans="1:9" x14ac:dyDescent="0.3">
      <c r="A1781" s="1">
        <v>46174</v>
      </c>
      <c r="B1781" t="s">
        <v>46</v>
      </c>
      <c r="C1781" t="s">
        <v>36</v>
      </c>
      <c r="D1781">
        <v>223.54</v>
      </c>
      <c r="E1781">
        <v>25612.81</v>
      </c>
      <c r="F1781">
        <v>0.98</v>
      </c>
      <c r="G1781">
        <v>0.89</v>
      </c>
      <c r="H1781">
        <v>1146</v>
      </c>
      <c r="I1781">
        <v>6</v>
      </c>
    </row>
    <row r="1782" spans="1:9" x14ac:dyDescent="0.3">
      <c r="A1782" s="1">
        <v>46174</v>
      </c>
      <c r="B1782" t="s">
        <v>40</v>
      </c>
      <c r="C1782" t="s">
        <v>36</v>
      </c>
      <c r="D1782">
        <v>195.31</v>
      </c>
      <c r="E1782">
        <v>2666.23</v>
      </c>
      <c r="F1782">
        <v>0.86</v>
      </c>
      <c r="G1782">
        <v>0.09</v>
      </c>
      <c r="H1782">
        <v>137</v>
      </c>
      <c r="I1782">
        <v>7</v>
      </c>
    </row>
    <row r="1783" spans="1:9" x14ac:dyDescent="0.3">
      <c r="A1783" s="1">
        <v>46174</v>
      </c>
      <c r="B1783" t="s">
        <v>42</v>
      </c>
      <c r="C1783" t="s">
        <v>36</v>
      </c>
      <c r="D1783">
        <v>150.47999999999999</v>
      </c>
      <c r="E1783">
        <v>11391.85</v>
      </c>
      <c r="F1783">
        <v>0.66</v>
      </c>
      <c r="G1783">
        <v>0.39</v>
      </c>
      <c r="H1783">
        <v>757</v>
      </c>
      <c r="I1783">
        <v>8</v>
      </c>
    </row>
    <row r="1784" spans="1:9" x14ac:dyDescent="0.3">
      <c r="A1784" s="1">
        <v>46174</v>
      </c>
      <c r="B1784" t="s">
        <v>35</v>
      </c>
      <c r="C1784" t="s">
        <v>36</v>
      </c>
      <c r="D1784">
        <v>141.78</v>
      </c>
      <c r="E1784">
        <v>55116.79</v>
      </c>
      <c r="F1784">
        <v>0.62</v>
      </c>
      <c r="G1784">
        <v>1.91</v>
      </c>
      <c r="H1784">
        <v>3887</v>
      </c>
      <c r="I1784">
        <v>9</v>
      </c>
    </row>
    <row r="1785" spans="1:9" x14ac:dyDescent="0.3">
      <c r="A1785" s="1">
        <v>46174</v>
      </c>
      <c r="B1785" t="s">
        <v>38</v>
      </c>
      <c r="C1785" t="s">
        <v>36</v>
      </c>
      <c r="D1785">
        <v>136.16</v>
      </c>
      <c r="E1785">
        <v>13120.62</v>
      </c>
      <c r="F1785">
        <v>0.6</v>
      </c>
      <c r="G1785">
        <v>0.45</v>
      </c>
      <c r="H1785">
        <v>964</v>
      </c>
      <c r="I1785">
        <v>10</v>
      </c>
    </row>
    <row r="1786" spans="1:9" x14ac:dyDescent="0.3">
      <c r="A1786" s="1">
        <v>46174</v>
      </c>
      <c r="B1786" t="s">
        <v>43</v>
      </c>
      <c r="C1786" t="s">
        <v>36</v>
      </c>
      <c r="D1786">
        <v>122.08</v>
      </c>
      <c r="E1786">
        <v>14847.89</v>
      </c>
      <c r="F1786">
        <v>0.54</v>
      </c>
      <c r="G1786">
        <v>0.51</v>
      </c>
      <c r="H1786">
        <v>1216</v>
      </c>
      <c r="I1786">
        <v>11</v>
      </c>
    </row>
    <row r="1787" spans="1:9" x14ac:dyDescent="0.3">
      <c r="A1787" s="1">
        <v>46174</v>
      </c>
      <c r="B1787" t="s">
        <v>39</v>
      </c>
      <c r="C1787" t="s">
        <v>36</v>
      </c>
      <c r="D1787">
        <v>84.2</v>
      </c>
      <c r="E1787">
        <v>10157.17</v>
      </c>
      <c r="F1787">
        <v>0.37</v>
      </c>
      <c r="G1787">
        <v>0.35</v>
      </c>
      <c r="H1787">
        <v>1206</v>
      </c>
      <c r="I1787">
        <v>12</v>
      </c>
    </row>
    <row r="1788" spans="1:9" x14ac:dyDescent="0.3">
      <c r="A1788" s="1">
        <v>46174</v>
      </c>
      <c r="B1788" t="s">
        <v>49</v>
      </c>
      <c r="C1788" t="s">
        <v>36</v>
      </c>
      <c r="D1788">
        <v>68.67</v>
      </c>
      <c r="E1788">
        <v>8115.02</v>
      </c>
      <c r="F1788">
        <v>0.3</v>
      </c>
      <c r="G1788">
        <v>0.28000000000000003</v>
      </c>
      <c r="H1788">
        <v>1182</v>
      </c>
      <c r="I1788">
        <v>13</v>
      </c>
    </row>
    <row r="1789" spans="1:9" x14ac:dyDescent="0.3">
      <c r="A1789" s="1">
        <v>46174</v>
      </c>
      <c r="B1789" t="s">
        <v>44</v>
      </c>
      <c r="C1789" t="s">
        <v>36</v>
      </c>
      <c r="D1789">
        <v>65.569999999999993</v>
      </c>
      <c r="E1789">
        <v>17044.38</v>
      </c>
      <c r="F1789">
        <v>0.28999999999999998</v>
      </c>
      <c r="G1789">
        <v>0.59</v>
      </c>
      <c r="H1789">
        <v>2599</v>
      </c>
      <c r="I1789">
        <v>14</v>
      </c>
    </row>
    <row r="1790" spans="1:9" x14ac:dyDescent="0.3">
      <c r="A1790" s="1">
        <v>46174</v>
      </c>
      <c r="B1790" t="s">
        <v>53</v>
      </c>
      <c r="C1790" t="s">
        <v>36</v>
      </c>
      <c r="D1790">
        <v>64.61</v>
      </c>
      <c r="E1790">
        <v>5641.79</v>
      </c>
      <c r="F1790">
        <v>0.28000000000000003</v>
      </c>
      <c r="G1790">
        <v>0.2</v>
      </c>
      <c r="H1790">
        <v>873</v>
      </c>
      <c r="I1790">
        <v>15</v>
      </c>
    </row>
    <row r="1791" spans="1:9" x14ac:dyDescent="0.3">
      <c r="A1791" s="1">
        <v>46174</v>
      </c>
      <c r="B1791" t="s">
        <v>45</v>
      </c>
      <c r="C1791" t="s">
        <v>36</v>
      </c>
      <c r="D1791">
        <v>48.21</v>
      </c>
      <c r="E1791">
        <v>7535.72</v>
      </c>
      <c r="F1791">
        <v>0.21</v>
      </c>
      <c r="G1791">
        <v>0.26</v>
      </c>
      <c r="H1791">
        <v>1563</v>
      </c>
      <c r="I1791">
        <v>16</v>
      </c>
    </row>
    <row r="1792" spans="1:9" x14ac:dyDescent="0.3">
      <c r="A1792" s="1">
        <v>46174</v>
      </c>
      <c r="B1792" t="s">
        <v>41</v>
      </c>
      <c r="C1792" t="s">
        <v>36</v>
      </c>
      <c r="D1792">
        <v>47.95</v>
      </c>
      <c r="E1792">
        <v>21800.48</v>
      </c>
      <c r="F1792">
        <v>0.21</v>
      </c>
      <c r="G1792">
        <v>0.75</v>
      </c>
      <c r="H1792">
        <v>4547</v>
      </c>
      <c r="I1792">
        <v>17</v>
      </c>
    </row>
    <row r="1793" spans="1:9" x14ac:dyDescent="0.3">
      <c r="A1793" s="1">
        <v>46174</v>
      </c>
      <c r="B1793" t="s">
        <v>55</v>
      </c>
      <c r="C1793" t="s">
        <v>36</v>
      </c>
      <c r="D1793">
        <v>46.17</v>
      </c>
      <c r="E1793">
        <v>3707.09</v>
      </c>
      <c r="F1793">
        <v>0.2</v>
      </c>
      <c r="G1793">
        <v>0.13</v>
      </c>
      <c r="H1793">
        <v>803</v>
      </c>
      <c r="I1793">
        <v>18</v>
      </c>
    </row>
    <row r="1794" spans="1:9" x14ac:dyDescent="0.3">
      <c r="A1794" s="1">
        <v>46174</v>
      </c>
      <c r="B1794" t="s">
        <v>54</v>
      </c>
      <c r="C1794" t="s">
        <v>36</v>
      </c>
      <c r="D1794">
        <v>23.15</v>
      </c>
      <c r="E1794">
        <v>5977.73</v>
      </c>
      <c r="F1794">
        <v>0.1</v>
      </c>
      <c r="G1794">
        <v>0.21</v>
      </c>
      <c r="H1794">
        <v>2582</v>
      </c>
      <c r="I1794">
        <v>19</v>
      </c>
    </row>
    <row r="1795" spans="1:9" x14ac:dyDescent="0.3">
      <c r="A1795" s="1">
        <v>46174</v>
      </c>
      <c r="B1795" t="s">
        <v>118</v>
      </c>
      <c r="C1795" t="s">
        <v>36</v>
      </c>
      <c r="D1795">
        <v>19.309999999999999</v>
      </c>
      <c r="E1795">
        <v>2290.9299999999998</v>
      </c>
      <c r="F1795">
        <v>0.09</v>
      </c>
      <c r="G1795">
        <v>0.08</v>
      </c>
      <c r="H1795">
        <v>1186</v>
      </c>
      <c r="I1795">
        <v>20</v>
      </c>
    </row>
    <row r="1796" spans="1:9" x14ac:dyDescent="0.3">
      <c r="A1796" s="1">
        <v>46174</v>
      </c>
      <c r="B1796" t="s">
        <v>57</v>
      </c>
      <c r="C1796" t="s">
        <v>36</v>
      </c>
      <c r="D1796">
        <v>17.54</v>
      </c>
      <c r="E1796">
        <v>1929.27</v>
      </c>
      <c r="F1796">
        <v>0.08</v>
      </c>
      <c r="G1796">
        <v>7.0000000000000007E-2</v>
      </c>
      <c r="H1796">
        <v>1100</v>
      </c>
      <c r="I1796">
        <v>21</v>
      </c>
    </row>
    <row r="1797" spans="1:9" x14ac:dyDescent="0.3">
      <c r="A1797" s="1">
        <v>46174</v>
      </c>
      <c r="B1797" t="s">
        <v>48</v>
      </c>
      <c r="C1797" t="s">
        <v>36</v>
      </c>
      <c r="D1797">
        <v>15.84</v>
      </c>
      <c r="E1797">
        <v>1527.15</v>
      </c>
      <c r="F1797">
        <v>7.0000000000000007E-2</v>
      </c>
      <c r="G1797">
        <v>0.05</v>
      </c>
      <c r="H1797">
        <v>964</v>
      </c>
      <c r="I1797">
        <v>22</v>
      </c>
    </row>
    <row r="1798" spans="1:9" x14ac:dyDescent="0.3">
      <c r="A1798" s="1">
        <v>46174</v>
      </c>
      <c r="B1798" t="s">
        <v>52</v>
      </c>
      <c r="C1798" t="s">
        <v>36</v>
      </c>
      <c r="D1798">
        <v>15.4</v>
      </c>
      <c r="E1798">
        <v>3404.91</v>
      </c>
      <c r="F1798">
        <v>7.0000000000000007E-2</v>
      </c>
      <c r="G1798">
        <v>0.12</v>
      </c>
      <c r="H1798">
        <v>2211</v>
      </c>
      <c r="I1798">
        <v>23</v>
      </c>
    </row>
    <row r="1799" spans="1:9" x14ac:dyDescent="0.3">
      <c r="A1799" s="1">
        <v>46174</v>
      </c>
      <c r="B1799" t="s">
        <v>50</v>
      </c>
      <c r="C1799" t="s">
        <v>36</v>
      </c>
      <c r="D1799">
        <v>14.75</v>
      </c>
      <c r="E1799">
        <v>11613.02</v>
      </c>
      <c r="F1799">
        <v>0.06</v>
      </c>
      <c r="G1799">
        <v>0.4</v>
      </c>
      <c r="H1799">
        <v>7873</v>
      </c>
      <c r="I1799">
        <v>24</v>
      </c>
    </row>
    <row r="1800" spans="1:9" x14ac:dyDescent="0.3">
      <c r="A1800" s="1">
        <v>46174</v>
      </c>
      <c r="B1800" t="s">
        <v>122</v>
      </c>
      <c r="C1800" t="s">
        <v>36</v>
      </c>
      <c r="D1800">
        <v>11.34</v>
      </c>
      <c r="E1800">
        <v>217.15</v>
      </c>
      <c r="F1800">
        <v>0.05</v>
      </c>
      <c r="G1800">
        <v>0.01</v>
      </c>
      <c r="H1800">
        <v>191</v>
      </c>
      <c r="I1800">
        <v>25</v>
      </c>
    </row>
    <row r="1801" spans="1:9" x14ac:dyDescent="0.3">
      <c r="A1801" s="1">
        <v>46174</v>
      </c>
      <c r="B1801" t="s">
        <v>56</v>
      </c>
      <c r="C1801" t="s">
        <v>36</v>
      </c>
      <c r="D1801">
        <v>10.49</v>
      </c>
      <c r="E1801">
        <v>721.42</v>
      </c>
      <c r="F1801">
        <v>0.05</v>
      </c>
      <c r="G1801">
        <v>0.02</v>
      </c>
      <c r="H1801">
        <v>688</v>
      </c>
      <c r="I1801">
        <v>26</v>
      </c>
    </row>
    <row r="1802" spans="1:9" x14ac:dyDescent="0.3">
      <c r="A1802" s="1">
        <v>46174</v>
      </c>
      <c r="B1802" t="s">
        <v>58</v>
      </c>
      <c r="C1802" t="s">
        <v>36</v>
      </c>
      <c r="D1802">
        <v>8.41</v>
      </c>
      <c r="E1802">
        <v>3019.86</v>
      </c>
      <c r="F1802">
        <v>0.04</v>
      </c>
      <c r="G1802">
        <v>0.1</v>
      </c>
      <c r="H1802">
        <v>3591</v>
      </c>
      <c r="I1802">
        <v>27</v>
      </c>
    </row>
    <row r="1803" spans="1:9" x14ac:dyDescent="0.3">
      <c r="A1803" s="1">
        <v>46174</v>
      </c>
      <c r="B1803" t="s">
        <v>65</v>
      </c>
      <c r="C1803" t="s">
        <v>36</v>
      </c>
      <c r="D1803">
        <v>7.56</v>
      </c>
      <c r="E1803">
        <v>744.84</v>
      </c>
      <c r="F1803">
        <v>0.03</v>
      </c>
      <c r="G1803">
        <v>0.03</v>
      </c>
      <c r="H1803">
        <v>985</v>
      </c>
      <c r="I1803">
        <v>28</v>
      </c>
    </row>
    <row r="1804" spans="1:9" x14ac:dyDescent="0.3">
      <c r="A1804" s="1">
        <v>46174</v>
      </c>
      <c r="B1804" t="s">
        <v>62</v>
      </c>
      <c r="C1804" t="s">
        <v>36</v>
      </c>
      <c r="D1804">
        <v>6.71</v>
      </c>
      <c r="E1804">
        <v>423.91</v>
      </c>
      <c r="F1804">
        <v>0.03</v>
      </c>
      <c r="G1804">
        <v>0.01</v>
      </c>
      <c r="H1804">
        <v>632</v>
      </c>
      <c r="I1804">
        <v>29</v>
      </c>
    </row>
    <row r="1805" spans="1:9" x14ac:dyDescent="0.3">
      <c r="A1805" s="1">
        <v>46174</v>
      </c>
      <c r="B1805" t="s">
        <v>112</v>
      </c>
      <c r="C1805" t="s">
        <v>36</v>
      </c>
      <c r="D1805">
        <v>5.15</v>
      </c>
      <c r="E1805">
        <v>388.96</v>
      </c>
      <c r="F1805">
        <v>0.02</v>
      </c>
      <c r="G1805">
        <v>0.01</v>
      </c>
      <c r="H1805">
        <v>755</v>
      </c>
      <c r="I1805">
        <v>30</v>
      </c>
    </row>
    <row r="1806" spans="1:9" x14ac:dyDescent="0.3">
      <c r="A1806" s="1">
        <v>46174</v>
      </c>
      <c r="B1806" t="s">
        <v>59</v>
      </c>
      <c r="C1806" t="s">
        <v>36</v>
      </c>
      <c r="D1806">
        <v>5.03</v>
      </c>
      <c r="E1806">
        <v>839.64</v>
      </c>
      <c r="F1806">
        <v>0.02</v>
      </c>
      <c r="G1806">
        <v>0.03</v>
      </c>
      <c r="H1806">
        <v>1669</v>
      </c>
      <c r="I1806">
        <v>31</v>
      </c>
    </row>
    <row r="1807" spans="1:9" x14ac:dyDescent="0.3">
      <c r="A1807" s="1">
        <v>46174</v>
      </c>
      <c r="B1807" t="s">
        <v>60</v>
      </c>
      <c r="C1807" t="s">
        <v>36</v>
      </c>
      <c r="D1807">
        <v>4.78</v>
      </c>
      <c r="E1807">
        <v>880.9</v>
      </c>
      <c r="F1807">
        <v>0.02</v>
      </c>
      <c r="G1807">
        <v>0.03</v>
      </c>
      <c r="H1807">
        <v>1843</v>
      </c>
      <c r="I1807">
        <v>32</v>
      </c>
    </row>
    <row r="1808" spans="1:9" x14ac:dyDescent="0.3">
      <c r="A1808" s="1">
        <v>46174</v>
      </c>
      <c r="B1808" t="s">
        <v>71</v>
      </c>
      <c r="C1808" t="s">
        <v>36</v>
      </c>
      <c r="D1808">
        <v>4.2</v>
      </c>
      <c r="E1808">
        <v>564.63</v>
      </c>
      <c r="F1808">
        <v>0.02</v>
      </c>
      <c r="G1808">
        <v>0.02</v>
      </c>
      <c r="H1808">
        <v>1344</v>
      </c>
      <c r="I1808">
        <v>33</v>
      </c>
    </row>
    <row r="1809" spans="1:9" x14ac:dyDescent="0.3">
      <c r="A1809" s="1">
        <v>46174</v>
      </c>
      <c r="B1809" t="s">
        <v>61</v>
      </c>
      <c r="C1809" t="s">
        <v>36</v>
      </c>
      <c r="D1809">
        <v>3.98</v>
      </c>
      <c r="E1809">
        <v>1116.08</v>
      </c>
      <c r="F1809">
        <v>0.02</v>
      </c>
      <c r="G1809">
        <v>0.04</v>
      </c>
      <c r="H1809">
        <v>2804</v>
      </c>
      <c r="I1809">
        <v>34</v>
      </c>
    </row>
    <row r="1810" spans="1:9" x14ac:dyDescent="0.3">
      <c r="A1810" s="1">
        <v>46174</v>
      </c>
      <c r="B1810" t="s">
        <v>115</v>
      </c>
      <c r="C1810" t="s">
        <v>36</v>
      </c>
      <c r="D1810">
        <v>3.58</v>
      </c>
      <c r="E1810">
        <v>1340.71</v>
      </c>
      <c r="F1810">
        <v>0.02</v>
      </c>
      <c r="G1810">
        <v>0.05</v>
      </c>
      <c r="H1810">
        <v>3745</v>
      </c>
      <c r="I1810">
        <v>35</v>
      </c>
    </row>
    <row r="1811" spans="1:9" x14ac:dyDescent="0.3">
      <c r="A1811" s="1">
        <v>46174</v>
      </c>
      <c r="B1811" t="s">
        <v>67</v>
      </c>
      <c r="C1811" t="s">
        <v>36</v>
      </c>
      <c r="D1811">
        <v>3.35</v>
      </c>
      <c r="E1811">
        <v>2682.12</v>
      </c>
      <c r="F1811">
        <v>0.01</v>
      </c>
      <c r="G1811">
        <v>0.09</v>
      </c>
      <c r="H1811">
        <v>8006</v>
      </c>
      <c r="I1811">
        <v>36</v>
      </c>
    </row>
    <row r="1812" spans="1:9" x14ac:dyDescent="0.3">
      <c r="A1812" s="1">
        <v>46174</v>
      </c>
      <c r="B1812" t="s">
        <v>51</v>
      </c>
      <c r="C1812" t="s">
        <v>36</v>
      </c>
      <c r="D1812">
        <v>3.18</v>
      </c>
      <c r="E1812">
        <v>127.17</v>
      </c>
      <c r="F1812">
        <v>0.01</v>
      </c>
      <c r="G1812">
        <v>0</v>
      </c>
      <c r="H1812">
        <v>400</v>
      </c>
      <c r="I1812">
        <v>37</v>
      </c>
    </row>
    <row r="1813" spans="1:9" x14ac:dyDescent="0.3">
      <c r="A1813" s="1">
        <v>46174</v>
      </c>
      <c r="B1813" t="s">
        <v>98</v>
      </c>
      <c r="C1813" t="s">
        <v>36</v>
      </c>
      <c r="D1813">
        <v>2.69</v>
      </c>
      <c r="E1813">
        <v>288.60000000000002</v>
      </c>
      <c r="F1813">
        <v>0.01</v>
      </c>
      <c r="G1813">
        <v>0.01</v>
      </c>
      <c r="H1813">
        <v>1073</v>
      </c>
      <c r="I1813">
        <v>38</v>
      </c>
    </row>
    <row r="1814" spans="1:9" x14ac:dyDescent="0.3">
      <c r="A1814" s="1">
        <v>46174</v>
      </c>
      <c r="B1814" t="s">
        <v>82</v>
      </c>
      <c r="C1814" t="s">
        <v>36</v>
      </c>
      <c r="D1814">
        <v>2.38</v>
      </c>
      <c r="E1814">
        <v>477.97</v>
      </c>
      <c r="F1814">
        <v>0.01</v>
      </c>
      <c r="G1814">
        <v>0.02</v>
      </c>
      <c r="H1814">
        <v>2008</v>
      </c>
      <c r="I1814">
        <v>39</v>
      </c>
    </row>
    <row r="1815" spans="1:9" x14ac:dyDescent="0.3">
      <c r="A1815" s="1">
        <v>46174</v>
      </c>
      <c r="B1815" t="s">
        <v>83</v>
      </c>
      <c r="C1815" t="s">
        <v>36</v>
      </c>
      <c r="D1815">
        <v>2.15</v>
      </c>
      <c r="E1815">
        <v>20.84</v>
      </c>
      <c r="F1815">
        <v>0.01</v>
      </c>
      <c r="G1815">
        <v>0</v>
      </c>
      <c r="H1815">
        <v>97</v>
      </c>
      <c r="I1815">
        <v>40</v>
      </c>
    </row>
    <row r="1816" spans="1:9" x14ac:dyDescent="0.3">
      <c r="A1816" s="1">
        <v>46174</v>
      </c>
      <c r="B1816" t="s">
        <v>87</v>
      </c>
      <c r="C1816" t="s">
        <v>36</v>
      </c>
      <c r="D1816">
        <v>2.02</v>
      </c>
      <c r="E1816">
        <v>226.81</v>
      </c>
      <c r="F1816">
        <v>0.01</v>
      </c>
      <c r="G1816">
        <v>0.01</v>
      </c>
      <c r="H1816">
        <v>1123</v>
      </c>
      <c r="I1816">
        <v>41</v>
      </c>
    </row>
    <row r="1817" spans="1:9" x14ac:dyDescent="0.3">
      <c r="A1817" s="1">
        <v>46174</v>
      </c>
      <c r="B1817" t="s">
        <v>63</v>
      </c>
      <c r="C1817" t="s">
        <v>36</v>
      </c>
      <c r="D1817">
        <v>2.02</v>
      </c>
      <c r="E1817">
        <v>545.91999999999996</v>
      </c>
      <c r="F1817">
        <v>0.01</v>
      </c>
      <c r="G1817">
        <v>0.02</v>
      </c>
      <c r="H1817">
        <v>2703</v>
      </c>
      <c r="I1817">
        <v>41</v>
      </c>
    </row>
    <row r="1818" spans="1:9" x14ac:dyDescent="0.3">
      <c r="A1818" s="1">
        <v>46174</v>
      </c>
      <c r="B1818" t="s">
        <v>68</v>
      </c>
      <c r="C1818" t="s">
        <v>36</v>
      </c>
      <c r="D1818">
        <v>1.76</v>
      </c>
      <c r="E1818">
        <v>97.84</v>
      </c>
      <c r="F1818">
        <v>0.01</v>
      </c>
      <c r="G1818">
        <v>0</v>
      </c>
      <c r="H1818">
        <v>556</v>
      </c>
      <c r="I1818">
        <v>43</v>
      </c>
    </row>
    <row r="1819" spans="1:9" x14ac:dyDescent="0.3">
      <c r="A1819" s="1">
        <v>46174</v>
      </c>
      <c r="B1819" t="s">
        <v>64</v>
      </c>
      <c r="C1819" t="s">
        <v>36</v>
      </c>
      <c r="D1819">
        <v>1.75</v>
      </c>
      <c r="E1819">
        <v>501.1</v>
      </c>
      <c r="F1819">
        <v>0.01</v>
      </c>
      <c r="G1819">
        <v>0.02</v>
      </c>
      <c r="H1819">
        <v>2863</v>
      </c>
      <c r="I1819">
        <v>44</v>
      </c>
    </row>
    <row r="1820" spans="1:9" x14ac:dyDescent="0.3">
      <c r="A1820" s="1">
        <v>46174</v>
      </c>
      <c r="B1820" t="s">
        <v>69</v>
      </c>
      <c r="C1820" t="s">
        <v>36</v>
      </c>
      <c r="D1820">
        <v>1.72</v>
      </c>
      <c r="E1820">
        <v>493.13</v>
      </c>
      <c r="F1820">
        <v>0.01</v>
      </c>
      <c r="G1820">
        <v>0.02</v>
      </c>
      <c r="H1820">
        <v>2867</v>
      </c>
      <c r="I1820">
        <v>45</v>
      </c>
    </row>
    <row r="1821" spans="1:9" x14ac:dyDescent="0.3">
      <c r="A1821" s="1">
        <v>46174</v>
      </c>
      <c r="B1821" t="s">
        <v>79</v>
      </c>
      <c r="C1821" t="s">
        <v>36</v>
      </c>
      <c r="D1821">
        <v>1.56</v>
      </c>
      <c r="E1821">
        <v>542.89</v>
      </c>
      <c r="F1821">
        <v>0.01</v>
      </c>
      <c r="G1821">
        <v>0.02</v>
      </c>
      <c r="H1821">
        <v>3480</v>
      </c>
      <c r="I1821">
        <v>46</v>
      </c>
    </row>
    <row r="1822" spans="1:9" x14ac:dyDescent="0.3">
      <c r="A1822" s="1">
        <v>46174</v>
      </c>
      <c r="B1822" t="s">
        <v>76</v>
      </c>
      <c r="C1822" t="s">
        <v>36</v>
      </c>
      <c r="D1822">
        <v>1.52</v>
      </c>
      <c r="E1822">
        <v>174.23</v>
      </c>
      <c r="F1822">
        <v>0.01</v>
      </c>
      <c r="G1822">
        <v>0.01</v>
      </c>
      <c r="H1822">
        <v>1146</v>
      </c>
      <c r="I1822">
        <v>47</v>
      </c>
    </row>
    <row r="1823" spans="1:9" x14ac:dyDescent="0.3">
      <c r="A1823" s="1">
        <v>46174</v>
      </c>
      <c r="B1823" t="s">
        <v>66</v>
      </c>
      <c r="C1823" t="s">
        <v>36</v>
      </c>
      <c r="D1823">
        <v>1.1399999999999999</v>
      </c>
      <c r="E1823">
        <v>20.21</v>
      </c>
      <c r="F1823">
        <v>0.01</v>
      </c>
      <c r="G1823">
        <v>0</v>
      </c>
      <c r="H1823">
        <v>177</v>
      </c>
      <c r="I1823">
        <v>48</v>
      </c>
    </row>
    <row r="1824" spans="1:9" x14ac:dyDescent="0.3">
      <c r="A1824" s="1">
        <v>46174</v>
      </c>
      <c r="B1824" t="s">
        <v>80</v>
      </c>
      <c r="C1824" t="s">
        <v>36</v>
      </c>
      <c r="D1824">
        <v>1.1100000000000001</v>
      </c>
      <c r="E1824">
        <v>211.59</v>
      </c>
      <c r="F1824">
        <v>0</v>
      </c>
      <c r="G1824">
        <v>0.01</v>
      </c>
      <c r="H1824">
        <v>1906</v>
      </c>
      <c r="I1824">
        <v>49</v>
      </c>
    </row>
    <row r="1825" spans="1:9" x14ac:dyDescent="0.3">
      <c r="A1825" s="1">
        <v>46174</v>
      </c>
      <c r="B1825" t="s">
        <v>73</v>
      </c>
      <c r="C1825" t="s">
        <v>36</v>
      </c>
      <c r="D1825">
        <v>0.98</v>
      </c>
      <c r="E1825">
        <v>313.93</v>
      </c>
      <c r="F1825">
        <v>0</v>
      </c>
      <c r="G1825">
        <v>0.01</v>
      </c>
      <c r="H1825">
        <v>3203</v>
      </c>
      <c r="I1825">
        <v>50</v>
      </c>
    </row>
    <row r="1826" spans="1:9" x14ac:dyDescent="0.3">
      <c r="A1826" s="1">
        <v>46174</v>
      </c>
      <c r="B1826" t="s">
        <v>78</v>
      </c>
      <c r="C1826" t="s">
        <v>36</v>
      </c>
      <c r="D1826">
        <v>0.97</v>
      </c>
      <c r="E1826">
        <v>308.72000000000003</v>
      </c>
      <c r="F1826">
        <v>0</v>
      </c>
      <c r="G1826">
        <v>0.01</v>
      </c>
      <c r="H1826">
        <v>3183</v>
      </c>
      <c r="I1826">
        <v>51</v>
      </c>
    </row>
    <row r="1827" spans="1:9" x14ac:dyDescent="0.3">
      <c r="A1827" s="1">
        <v>46174</v>
      </c>
      <c r="B1827" t="s">
        <v>74</v>
      </c>
      <c r="C1827" t="s">
        <v>36</v>
      </c>
      <c r="D1827">
        <v>0.93</v>
      </c>
      <c r="E1827">
        <v>293.52999999999997</v>
      </c>
      <c r="F1827">
        <v>0</v>
      </c>
      <c r="G1827">
        <v>0.01</v>
      </c>
      <c r="H1827">
        <v>3156</v>
      </c>
      <c r="I1827">
        <v>52</v>
      </c>
    </row>
    <row r="1828" spans="1:9" x14ac:dyDescent="0.3">
      <c r="A1828" s="1">
        <v>46174</v>
      </c>
      <c r="B1828" t="s">
        <v>72</v>
      </c>
      <c r="C1828" t="s">
        <v>36</v>
      </c>
      <c r="D1828">
        <v>0.83</v>
      </c>
      <c r="E1828">
        <v>16.86</v>
      </c>
      <c r="F1828">
        <v>0</v>
      </c>
      <c r="G1828">
        <v>0</v>
      </c>
      <c r="H1828">
        <v>203</v>
      </c>
      <c r="I1828">
        <v>53</v>
      </c>
    </row>
    <row r="1829" spans="1:9" x14ac:dyDescent="0.3">
      <c r="A1829" s="1">
        <v>46174</v>
      </c>
      <c r="B1829" t="s">
        <v>77</v>
      </c>
      <c r="C1829" t="s">
        <v>36</v>
      </c>
      <c r="D1829">
        <v>0.77</v>
      </c>
      <c r="E1829">
        <v>69.040000000000006</v>
      </c>
      <c r="F1829">
        <v>0</v>
      </c>
      <c r="G1829">
        <v>0</v>
      </c>
      <c r="H1829">
        <v>897</v>
      </c>
      <c r="I1829">
        <v>54</v>
      </c>
    </row>
    <row r="1830" spans="1:9" x14ac:dyDescent="0.3">
      <c r="A1830" s="1">
        <v>46174</v>
      </c>
      <c r="B1830" t="s">
        <v>102</v>
      </c>
      <c r="C1830" t="s">
        <v>36</v>
      </c>
      <c r="D1830">
        <v>0.74</v>
      </c>
      <c r="E1830">
        <v>79.28</v>
      </c>
      <c r="F1830">
        <v>0</v>
      </c>
      <c r="G1830">
        <v>0</v>
      </c>
      <c r="H1830">
        <v>1071</v>
      </c>
      <c r="I1830">
        <v>55</v>
      </c>
    </row>
    <row r="1831" spans="1:9" x14ac:dyDescent="0.3">
      <c r="A1831" s="1">
        <v>46174</v>
      </c>
      <c r="B1831" t="s">
        <v>121</v>
      </c>
      <c r="C1831" t="s">
        <v>36</v>
      </c>
      <c r="D1831">
        <v>0.74</v>
      </c>
      <c r="E1831">
        <v>17.32</v>
      </c>
      <c r="F1831">
        <v>0</v>
      </c>
      <c r="G1831">
        <v>0</v>
      </c>
      <c r="H1831">
        <v>234</v>
      </c>
      <c r="I1831">
        <v>55</v>
      </c>
    </row>
    <row r="1832" spans="1:9" x14ac:dyDescent="0.3">
      <c r="A1832" s="1">
        <v>46174</v>
      </c>
      <c r="B1832" t="s">
        <v>114</v>
      </c>
      <c r="C1832" t="s">
        <v>36</v>
      </c>
      <c r="D1832">
        <v>0.73</v>
      </c>
      <c r="E1832">
        <v>63.33</v>
      </c>
      <c r="F1832">
        <v>0</v>
      </c>
      <c r="G1832">
        <v>0</v>
      </c>
      <c r="H1832">
        <v>868</v>
      </c>
      <c r="I1832">
        <v>57</v>
      </c>
    </row>
    <row r="1833" spans="1:9" x14ac:dyDescent="0.3">
      <c r="A1833" s="1">
        <v>46174</v>
      </c>
      <c r="B1833" t="s">
        <v>84</v>
      </c>
      <c r="C1833" t="s">
        <v>36</v>
      </c>
      <c r="D1833">
        <v>0.66</v>
      </c>
      <c r="E1833">
        <v>175.86</v>
      </c>
      <c r="F1833">
        <v>0</v>
      </c>
      <c r="G1833">
        <v>0.01</v>
      </c>
      <c r="H1833">
        <v>2665</v>
      </c>
      <c r="I1833">
        <v>58</v>
      </c>
    </row>
    <row r="1834" spans="1:9" x14ac:dyDescent="0.3">
      <c r="A1834" s="1">
        <v>46174</v>
      </c>
      <c r="B1834" t="s">
        <v>75</v>
      </c>
      <c r="C1834" t="s">
        <v>36</v>
      </c>
      <c r="D1834">
        <v>0.56000000000000005</v>
      </c>
      <c r="E1834">
        <v>202.67</v>
      </c>
      <c r="F1834">
        <v>0</v>
      </c>
      <c r="G1834">
        <v>0.01</v>
      </c>
      <c r="H1834">
        <v>3619</v>
      </c>
      <c r="I1834">
        <v>59</v>
      </c>
    </row>
    <row r="1835" spans="1:9" x14ac:dyDescent="0.3">
      <c r="A1835" s="1">
        <v>46174</v>
      </c>
      <c r="B1835" t="s">
        <v>81</v>
      </c>
      <c r="C1835" t="s">
        <v>36</v>
      </c>
      <c r="D1835">
        <v>0.56000000000000005</v>
      </c>
      <c r="E1835">
        <v>57.9</v>
      </c>
      <c r="F1835">
        <v>0</v>
      </c>
      <c r="G1835">
        <v>0</v>
      </c>
      <c r="H1835">
        <v>1034</v>
      </c>
      <c r="I1835">
        <v>59</v>
      </c>
    </row>
    <row r="1836" spans="1:9" x14ac:dyDescent="0.3">
      <c r="A1836" s="1">
        <v>46174</v>
      </c>
      <c r="B1836" t="s">
        <v>70</v>
      </c>
      <c r="C1836" t="s">
        <v>36</v>
      </c>
      <c r="D1836">
        <v>0.55000000000000004</v>
      </c>
      <c r="E1836">
        <v>193.29</v>
      </c>
      <c r="F1836">
        <v>0</v>
      </c>
      <c r="G1836">
        <v>0.01</v>
      </c>
      <c r="H1836">
        <v>3514</v>
      </c>
      <c r="I1836">
        <v>61</v>
      </c>
    </row>
    <row r="1837" spans="1:9" x14ac:dyDescent="0.3">
      <c r="A1837" s="1">
        <v>46174</v>
      </c>
      <c r="B1837" t="s">
        <v>97</v>
      </c>
      <c r="C1837" t="s">
        <v>36</v>
      </c>
      <c r="D1837">
        <v>0.53</v>
      </c>
      <c r="E1837">
        <v>28.99</v>
      </c>
      <c r="F1837">
        <v>0</v>
      </c>
      <c r="G1837">
        <v>0</v>
      </c>
      <c r="H1837">
        <v>547</v>
      </c>
      <c r="I1837">
        <v>62</v>
      </c>
    </row>
    <row r="1838" spans="1:9" x14ac:dyDescent="0.3">
      <c r="A1838" s="1">
        <v>46174</v>
      </c>
      <c r="B1838" t="s">
        <v>100</v>
      </c>
      <c r="C1838" t="s">
        <v>36</v>
      </c>
      <c r="D1838">
        <v>0.49</v>
      </c>
      <c r="E1838">
        <v>598.38</v>
      </c>
      <c r="F1838">
        <v>0</v>
      </c>
      <c r="G1838">
        <v>0.02</v>
      </c>
      <c r="H1838">
        <v>12212</v>
      </c>
      <c r="I1838">
        <v>63</v>
      </c>
    </row>
    <row r="1839" spans="1:9" x14ac:dyDescent="0.3">
      <c r="A1839" s="1">
        <v>46174</v>
      </c>
      <c r="B1839" t="s">
        <v>113</v>
      </c>
      <c r="C1839" t="s">
        <v>36</v>
      </c>
      <c r="D1839">
        <v>0.47</v>
      </c>
      <c r="E1839">
        <v>38.49</v>
      </c>
      <c r="F1839">
        <v>0</v>
      </c>
      <c r="G1839">
        <v>0</v>
      </c>
      <c r="H1839">
        <v>819</v>
      </c>
      <c r="I1839">
        <v>64</v>
      </c>
    </row>
    <row r="1840" spans="1:9" x14ac:dyDescent="0.3">
      <c r="A1840" s="1">
        <v>46174</v>
      </c>
      <c r="B1840" t="s">
        <v>85</v>
      </c>
      <c r="C1840" t="s">
        <v>36</v>
      </c>
      <c r="D1840">
        <v>0.34</v>
      </c>
      <c r="E1840">
        <v>93.12</v>
      </c>
      <c r="F1840">
        <v>0</v>
      </c>
      <c r="G1840">
        <v>0</v>
      </c>
      <c r="H1840">
        <v>2739</v>
      </c>
      <c r="I1840">
        <v>65</v>
      </c>
    </row>
    <row r="1841" spans="1:9" x14ac:dyDescent="0.3">
      <c r="A1841" s="1">
        <v>46174</v>
      </c>
      <c r="B1841" t="s">
        <v>117</v>
      </c>
      <c r="C1841" t="s">
        <v>36</v>
      </c>
      <c r="D1841">
        <v>0.33</v>
      </c>
      <c r="E1841">
        <v>50.74</v>
      </c>
      <c r="F1841">
        <v>0</v>
      </c>
      <c r="G1841">
        <v>0</v>
      </c>
      <c r="H1841">
        <v>1538</v>
      </c>
      <c r="I1841">
        <v>66</v>
      </c>
    </row>
    <row r="1842" spans="1:9" x14ac:dyDescent="0.3">
      <c r="A1842" s="1">
        <v>46174</v>
      </c>
      <c r="B1842" t="s">
        <v>89</v>
      </c>
      <c r="C1842" t="s">
        <v>36</v>
      </c>
      <c r="D1842">
        <v>0.32</v>
      </c>
      <c r="E1842">
        <v>114.4</v>
      </c>
      <c r="F1842">
        <v>0</v>
      </c>
      <c r="G1842">
        <v>0</v>
      </c>
      <c r="H1842">
        <v>3575</v>
      </c>
      <c r="I1842">
        <v>67</v>
      </c>
    </row>
    <row r="1843" spans="1:9" x14ac:dyDescent="0.3">
      <c r="A1843" s="1">
        <v>46174</v>
      </c>
      <c r="B1843" t="s">
        <v>94</v>
      </c>
      <c r="C1843" t="s">
        <v>36</v>
      </c>
      <c r="D1843">
        <v>0.25</v>
      </c>
      <c r="E1843">
        <v>19.920000000000002</v>
      </c>
      <c r="F1843">
        <v>0</v>
      </c>
      <c r="G1843">
        <v>0</v>
      </c>
      <c r="H1843">
        <v>797</v>
      </c>
      <c r="I1843">
        <v>68</v>
      </c>
    </row>
    <row r="1844" spans="1:9" x14ac:dyDescent="0.3">
      <c r="A1844" s="1">
        <v>46174</v>
      </c>
      <c r="B1844" t="s">
        <v>88</v>
      </c>
      <c r="C1844" t="s">
        <v>36</v>
      </c>
      <c r="D1844">
        <v>0.25</v>
      </c>
      <c r="E1844">
        <v>68.72</v>
      </c>
      <c r="F1844">
        <v>0</v>
      </c>
      <c r="G1844">
        <v>0</v>
      </c>
      <c r="H1844">
        <v>2749</v>
      </c>
      <c r="I1844">
        <v>68</v>
      </c>
    </row>
    <row r="1845" spans="1:9" x14ac:dyDescent="0.3">
      <c r="A1845" s="1">
        <v>46174</v>
      </c>
      <c r="B1845" t="s">
        <v>127</v>
      </c>
      <c r="C1845" t="s">
        <v>36</v>
      </c>
      <c r="D1845">
        <v>0.24</v>
      </c>
      <c r="E1845">
        <v>31.47</v>
      </c>
      <c r="F1845">
        <v>0</v>
      </c>
      <c r="G1845">
        <v>0</v>
      </c>
      <c r="H1845">
        <v>1311</v>
      </c>
      <c r="I1845">
        <v>70</v>
      </c>
    </row>
    <row r="1846" spans="1:9" x14ac:dyDescent="0.3">
      <c r="A1846" s="1">
        <v>46174</v>
      </c>
      <c r="B1846" t="s">
        <v>130</v>
      </c>
      <c r="C1846" t="s">
        <v>36</v>
      </c>
      <c r="D1846">
        <v>0.23</v>
      </c>
      <c r="E1846">
        <v>102.83</v>
      </c>
      <c r="F1846">
        <v>0</v>
      </c>
      <c r="G1846">
        <v>0</v>
      </c>
      <c r="H1846">
        <v>4471</v>
      </c>
      <c r="I1846">
        <v>71</v>
      </c>
    </row>
    <row r="1847" spans="1:9" x14ac:dyDescent="0.3">
      <c r="A1847" s="1">
        <v>46174</v>
      </c>
      <c r="B1847" t="s">
        <v>93</v>
      </c>
      <c r="C1847" t="s">
        <v>36</v>
      </c>
      <c r="D1847">
        <v>0.23</v>
      </c>
      <c r="E1847">
        <v>117.01</v>
      </c>
      <c r="F1847">
        <v>0</v>
      </c>
      <c r="G1847">
        <v>0</v>
      </c>
      <c r="H1847">
        <v>5087</v>
      </c>
      <c r="I1847">
        <v>71</v>
      </c>
    </row>
    <row r="1848" spans="1:9" x14ac:dyDescent="0.3">
      <c r="A1848" s="1">
        <v>46174</v>
      </c>
      <c r="B1848" t="s">
        <v>95</v>
      </c>
      <c r="C1848" t="s">
        <v>36</v>
      </c>
      <c r="D1848">
        <v>0.15</v>
      </c>
      <c r="E1848">
        <v>109.06</v>
      </c>
      <c r="F1848">
        <v>0</v>
      </c>
      <c r="G1848">
        <v>0</v>
      </c>
      <c r="H1848">
        <v>7271</v>
      </c>
      <c r="I1848">
        <v>73</v>
      </c>
    </row>
    <row r="1849" spans="1:9" x14ac:dyDescent="0.3">
      <c r="A1849" s="1">
        <v>46174</v>
      </c>
      <c r="B1849" t="s">
        <v>101</v>
      </c>
      <c r="C1849" t="s">
        <v>36</v>
      </c>
      <c r="D1849">
        <v>0.13</v>
      </c>
      <c r="E1849">
        <v>46.32</v>
      </c>
      <c r="F1849">
        <v>0</v>
      </c>
      <c r="G1849">
        <v>0</v>
      </c>
      <c r="H1849">
        <v>3563</v>
      </c>
      <c r="I1849">
        <v>74</v>
      </c>
    </row>
    <row r="1850" spans="1:9" x14ac:dyDescent="0.3">
      <c r="A1850" s="1">
        <v>46174</v>
      </c>
      <c r="B1850" t="s">
        <v>90</v>
      </c>
      <c r="C1850" t="s">
        <v>36</v>
      </c>
      <c r="D1850">
        <v>0.12</v>
      </c>
      <c r="E1850">
        <v>6</v>
      </c>
      <c r="F1850">
        <v>0</v>
      </c>
      <c r="G1850">
        <v>0</v>
      </c>
      <c r="H1850">
        <v>500</v>
      </c>
      <c r="I1850">
        <v>75</v>
      </c>
    </row>
    <row r="1851" spans="1:9" x14ac:dyDescent="0.3">
      <c r="A1851" s="1">
        <v>46174</v>
      </c>
      <c r="B1851" t="s">
        <v>103</v>
      </c>
      <c r="C1851" t="s">
        <v>36</v>
      </c>
      <c r="D1851">
        <v>0.12</v>
      </c>
      <c r="E1851">
        <v>27.01</v>
      </c>
      <c r="F1851">
        <v>0</v>
      </c>
      <c r="G1851">
        <v>0</v>
      </c>
      <c r="H1851">
        <v>2251</v>
      </c>
      <c r="I1851">
        <v>75</v>
      </c>
    </row>
    <row r="1852" spans="1:9" x14ac:dyDescent="0.3">
      <c r="A1852" s="1">
        <v>46174</v>
      </c>
      <c r="B1852" t="s">
        <v>116</v>
      </c>
      <c r="C1852" t="s">
        <v>36</v>
      </c>
      <c r="D1852">
        <v>0.11</v>
      </c>
      <c r="E1852">
        <v>38.950000000000003</v>
      </c>
      <c r="F1852">
        <v>0</v>
      </c>
      <c r="G1852">
        <v>0</v>
      </c>
      <c r="H1852">
        <v>3541</v>
      </c>
      <c r="I1852">
        <v>77</v>
      </c>
    </row>
    <row r="1853" spans="1:9" x14ac:dyDescent="0.3">
      <c r="A1853" s="1">
        <v>46174</v>
      </c>
      <c r="B1853" t="s">
        <v>128</v>
      </c>
      <c r="C1853" t="s">
        <v>36</v>
      </c>
      <c r="D1853">
        <v>0.1</v>
      </c>
      <c r="E1853">
        <v>20.059999999999999</v>
      </c>
      <c r="F1853">
        <v>0</v>
      </c>
      <c r="G1853">
        <v>0</v>
      </c>
      <c r="H1853">
        <v>2006</v>
      </c>
      <c r="I1853">
        <v>78</v>
      </c>
    </row>
    <row r="1854" spans="1:9" x14ac:dyDescent="0.3">
      <c r="A1854" s="1">
        <v>46174</v>
      </c>
      <c r="B1854" t="s">
        <v>96</v>
      </c>
      <c r="C1854" t="s">
        <v>36</v>
      </c>
      <c r="D1854">
        <v>0.1</v>
      </c>
      <c r="E1854">
        <v>41.96</v>
      </c>
      <c r="F1854">
        <v>0</v>
      </c>
      <c r="G1854">
        <v>0</v>
      </c>
      <c r="H1854">
        <v>4196</v>
      </c>
      <c r="I1854">
        <v>78</v>
      </c>
    </row>
    <row r="1855" spans="1:9" x14ac:dyDescent="0.3">
      <c r="A1855" s="1">
        <v>46174</v>
      </c>
      <c r="B1855" t="s">
        <v>132</v>
      </c>
      <c r="C1855" t="s">
        <v>36</v>
      </c>
      <c r="D1855">
        <v>0.09</v>
      </c>
      <c r="E1855">
        <v>4.7300000000000004</v>
      </c>
      <c r="F1855">
        <v>0</v>
      </c>
      <c r="G1855">
        <v>0</v>
      </c>
      <c r="H1855">
        <v>526</v>
      </c>
      <c r="I1855">
        <v>80</v>
      </c>
    </row>
    <row r="1856" spans="1:9" x14ac:dyDescent="0.3">
      <c r="A1856" s="1">
        <v>46174</v>
      </c>
      <c r="B1856" t="s">
        <v>99</v>
      </c>
      <c r="C1856" t="s">
        <v>36</v>
      </c>
      <c r="D1856">
        <v>0.08</v>
      </c>
      <c r="E1856">
        <v>2.86</v>
      </c>
      <c r="F1856">
        <v>0</v>
      </c>
      <c r="G1856">
        <v>0</v>
      </c>
      <c r="H1856">
        <v>358</v>
      </c>
      <c r="I1856">
        <v>81</v>
      </c>
    </row>
    <row r="1857" spans="1:9" x14ac:dyDescent="0.3">
      <c r="A1857" s="1">
        <v>46174</v>
      </c>
      <c r="B1857" t="s">
        <v>105</v>
      </c>
      <c r="C1857" t="s">
        <v>36</v>
      </c>
      <c r="D1857">
        <v>0.08</v>
      </c>
      <c r="E1857">
        <v>22.17</v>
      </c>
      <c r="F1857">
        <v>0</v>
      </c>
      <c r="G1857">
        <v>0</v>
      </c>
      <c r="H1857">
        <v>2771</v>
      </c>
      <c r="I1857">
        <v>81</v>
      </c>
    </row>
    <row r="1858" spans="1:9" x14ac:dyDescent="0.3">
      <c r="A1858" s="1">
        <v>46174</v>
      </c>
      <c r="B1858" t="s">
        <v>86</v>
      </c>
      <c r="C1858" t="s">
        <v>36</v>
      </c>
      <c r="D1858">
        <v>0.08</v>
      </c>
      <c r="E1858">
        <v>27.89</v>
      </c>
      <c r="F1858">
        <v>0</v>
      </c>
      <c r="G1858">
        <v>0</v>
      </c>
      <c r="H1858">
        <v>3486</v>
      </c>
      <c r="I1858">
        <v>81</v>
      </c>
    </row>
    <row r="1859" spans="1:9" x14ac:dyDescent="0.3">
      <c r="A1859" s="1">
        <v>46174</v>
      </c>
      <c r="B1859" t="s">
        <v>119</v>
      </c>
      <c r="C1859" t="s">
        <v>36</v>
      </c>
      <c r="D1859">
        <v>0.06</v>
      </c>
      <c r="E1859">
        <v>6.37</v>
      </c>
      <c r="F1859">
        <v>0</v>
      </c>
      <c r="G1859">
        <v>0</v>
      </c>
      <c r="H1859">
        <v>1062</v>
      </c>
      <c r="I1859">
        <v>84</v>
      </c>
    </row>
    <row r="1860" spans="1:9" x14ac:dyDescent="0.3">
      <c r="A1860" s="1">
        <v>46174</v>
      </c>
      <c r="B1860" t="s">
        <v>125</v>
      </c>
      <c r="C1860" t="s">
        <v>36</v>
      </c>
      <c r="D1860">
        <v>0.06</v>
      </c>
      <c r="E1860">
        <v>4.33</v>
      </c>
      <c r="F1860">
        <v>0</v>
      </c>
      <c r="G1860">
        <v>0</v>
      </c>
      <c r="H1860">
        <v>722</v>
      </c>
      <c r="I1860">
        <v>84</v>
      </c>
    </row>
    <row r="1861" spans="1:9" x14ac:dyDescent="0.3">
      <c r="A1861" s="1">
        <v>46174</v>
      </c>
      <c r="B1861" t="s">
        <v>126</v>
      </c>
      <c r="C1861" t="s">
        <v>36</v>
      </c>
      <c r="D1861">
        <v>0.06</v>
      </c>
      <c r="E1861">
        <v>4.49</v>
      </c>
      <c r="F1861">
        <v>0</v>
      </c>
      <c r="G1861">
        <v>0</v>
      </c>
      <c r="H1861">
        <v>748</v>
      </c>
      <c r="I1861">
        <v>84</v>
      </c>
    </row>
    <row r="1862" spans="1:9" x14ac:dyDescent="0.3">
      <c r="A1862" s="1">
        <v>46174</v>
      </c>
      <c r="B1862" t="s">
        <v>133</v>
      </c>
      <c r="C1862" t="s">
        <v>36</v>
      </c>
      <c r="D1862">
        <v>0.04</v>
      </c>
      <c r="E1862">
        <v>1.62</v>
      </c>
      <c r="F1862">
        <v>0</v>
      </c>
      <c r="G1862">
        <v>0</v>
      </c>
      <c r="H1862">
        <v>405</v>
      </c>
      <c r="I1862">
        <v>87</v>
      </c>
    </row>
    <row r="1863" spans="1:9" x14ac:dyDescent="0.3">
      <c r="A1863" s="1">
        <v>46174</v>
      </c>
      <c r="B1863" t="s">
        <v>110</v>
      </c>
      <c r="C1863" t="s">
        <v>36</v>
      </c>
      <c r="D1863">
        <v>0.04</v>
      </c>
      <c r="E1863">
        <v>3.76</v>
      </c>
      <c r="F1863">
        <v>0</v>
      </c>
      <c r="G1863">
        <v>0</v>
      </c>
      <c r="H1863">
        <v>940</v>
      </c>
      <c r="I1863">
        <v>87</v>
      </c>
    </row>
    <row r="1864" spans="1:9" x14ac:dyDescent="0.3">
      <c r="A1864" s="1">
        <v>46174</v>
      </c>
      <c r="B1864" t="s">
        <v>104</v>
      </c>
      <c r="C1864" t="s">
        <v>36</v>
      </c>
      <c r="D1864">
        <v>0.03</v>
      </c>
      <c r="E1864">
        <v>15.77</v>
      </c>
      <c r="F1864">
        <v>0</v>
      </c>
      <c r="G1864">
        <v>0</v>
      </c>
      <c r="H1864">
        <v>5257</v>
      </c>
      <c r="I1864">
        <v>89</v>
      </c>
    </row>
    <row r="1865" spans="1:9" x14ac:dyDescent="0.3">
      <c r="A1865" s="1">
        <v>46174</v>
      </c>
      <c r="B1865" t="s">
        <v>129</v>
      </c>
      <c r="C1865" t="s">
        <v>36</v>
      </c>
      <c r="D1865">
        <v>0.03</v>
      </c>
      <c r="E1865">
        <v>2.85</v>
      </c>
      <c r="F1865">
        <v>0</v>
      </c>
      <c r="G1865">
        <v>0</v>
      </c>
      <c r="H1865">
        <v>950</v>
      </c>
      <c r="I1865">
        <v>89</v>
      </c>
    </row>
    <row r="1866" spans="1:9" x14ac:dyDescent="0.3">
      <c r="A1866" s="1">
        <v>46174</v>
      </c>
      <c r="B1866" t="s">
        <v>91</v>
      </c>
      <c r="C1866" t="s">
        <v>36</v>
      </c>
      <c r="D1866">
        <v>0.03</v>
      </c>
      <c r="E1866">
        <v>1.81</v>
      </c>
      <c r="F1866">
        <v>0</v>
      </c>
      <c r="G1866">
        <v>0</v>
      </c>
      <c r="H1866">
        <v>603</v>
      </c>
      <c r="I1866">
        <v>89</v>
      </c>
    </row>
    <row r="1867" spans="1:9" x14ac:dyDescent="0.3">
      <c r="A1867" s="1">
        <v>46204</v>
      </c>
      <c r="B1867" t="s">
        <v>32</v>
      </c>
      <c r="C1867" t="s">
        <v>32</v>
      </c>
      <c r="D1867">
        <v>10857.91</v>
      </c>
      <c r="E1867">
        <v>1443982.58</v>
      </c>
      <c r="F1867">
        <v>45.89</v>
      </c>
      <c r="G1867">
        <v>48.33</v>
      </c>
      <c r="H1867">
        <v>1330</v>
      </c>
      <c r="I1867">
        <v>1</v>
      </c>
    </row>
    <row r="1868" spans="1:9" x14ac:dyDescent="0.3">
      <c r="A1868" s="1">
        <v>46204</v>
      </c>
      <c r="B1868" t="s">
        <v>33</v>
      </c>
      <c r="C1868" t="s">
        <v>33</v>
      </c>
      <c r="D1868">
        <v>7649.82</v>
      </c>
      <c r="E1868">
        <v>1001101.5</v>
      </c>
      <c r="F1868">
        <v>32.33</v>
      </c>
      <c r="G1868">
        <v>33.51</v>
      </c>
      <c r="H1868">
        <v>1309</v>
      </c>
      <c r="I1868">
        <v>2</v>
      </c>
    </row>
    <row r="1869" spans="1:9" x14ac:dyDescent="0.3">
      <c r="A1869" s="1">
        <v>46204</v>
      </c>
      <c r="B1869" t="s">
        <v>34</v>
      </c>
      <c r="C1869" t="s">
        <v>34</v>
      </c>
      <c r="D1869">
        <v>1903.87</v>
      </c>
      <c r="E1869">
        <v>204565.74</v>
      </c>
      <c r="F1869">
        <v>8.0500000000000007</v>
      </c>
      <c r="G1869">
        <v>6.85</v>
      </c>
      <c r="H1869">
        <v>1074</v>
      </c>
      <c r="I1869">
        <v>3</v>
      </c>
    </row>
    <row r="1870" spans="1:9" x14ac:dyDescent="0.3">
      <c r="A1870" s="1">
        <v>46204</v>
      </c>
      <c r="B1870" t="s">
        <v>37</v>
      </c>
      <c r="C1870" t="s">
        <v>36</v>
      </c>
      <c r="D1870">
        <v>947.08</v>
      </c>
      <c r="E1870">
        <v>48318.02</v>
      </c>
      <c r="F1870">
        <v>4</v>
      </c>
      <c r="G1870">
        <v>1.62</v>
      </c>
      <c r="H1870">
        <v>510</v>
      </c>
      <c r="I1870">
        <v>4</v>
      </c>
    </row>
    <row r="1871" spans="1:9" x14ac:dyDescent="0.3">
      <c r="A1871" s="1">
        <v>46204</v>
      </c>
      <c r="B1871" t="s">
        <v>47</v>
      </c>
      <c r="C1871" t="s">
        <v>36</v>
      </c>
      <c r="D1871">
        <v>437.27</v>
      </c>
      <c r="E1871">
        <v>20838.189999999999</v>
      </c>
      <c r="F1871">
        <v>1.85</v>
      </c>
      <c r="G1871">
        <v>0.7</v>
      </c>
      <c r="H1871">
        <v>477</v>
      </c>
      <c r="I1871">
        <v>5</v>
      </c>
    </row>
    <row r="1872" spans="1:9" x14ac:dyDescent="0.3">
      <c r="A1872" s="1">
        <v>46204</v>
      </c>
      <c r="B1872" t="s">
        <v>46</v>
      </c>
      <c r="C1872" t="s">
        <v>36</v>
      </c>
      <c r="D1872">
        <v>242.27</v>
      </c>
      <c r="E1872">
        <v>28632.66</v>
      </c>
      <c r="F1872">
        <v>1.02</v>
      </c>
      <c r="G1872">
        <v>0.96</v>
      </c>
      <c r="H1872">
        <v>1182</v>
      </c>
      <c r="I1872">
        <v>6</v>
      </c>
    </row>
    <row r="1873" spans="1:9" x14ac:dyDescent="0.3">
      <c r="A1873" s="1">
        <v>46204</v>
      </c>
      <c r="B1873" t="s">
        <v>40</v>
      </c>
      <c r="C1873" t="s">
        <v>36</v>
      </c>
      <c r="D1873">
        <v>206.19</v>
      </c>
      <c r="E1873">
        <v>2820.96</v>
      </c>
      <c r="F1873">
        <v>0.87</v>
      </c>
      <c r="G1873">
        <v>0.09</v>
      </c>
      <c r="H1873">
        <v>137</v>
      </c>
      <c r="I1873">
        <v>7</v>
      </c>
    </row>
    <row r="1874" spans="1:9" x14ac:dyDescent="0.3">
      <c r="A1874" s="1">
        <v>46204</v>
      </c>
      <c r="B1874" t="s">
        <v>42</v>
      </c>
      <c r="C1874" t="s">
        <v>36</v>
      </c>
      <c r="D1874">
        <v>167.89</v>
      </c>
      <c r="E1874">
        <v>12957.07</v>
      </c>
      <c r="F1874">
        <v>0.71</v>
      </c>
      <c r="G1874">
        <v>0.43</v>
      </c>
      <c r="H1874">
        <v>772</v>
      </c>
      <c r="I1874">
        <v>8</v>
      </c>
    </row>
    <row r="1875" spans="1:9" x14ac:dyDescent="0.3">
      <c r="A1875" s="1">
        <v>46204</v>
      </c>
      <c r="B1875" t="s">
        <v>38</v>
      </c>
      <c r="C1875" t="s">
        <v>36</v>
      </c>
      <c r="D1875">
        <v>143.77000000000001</v>
      </c>
      <c r="E1875">
        <v>13939.94</v>
      </c>
      <c r="F1875">
        <v>0.61</v>
      </c>
      <c r="G1875">
        <v>0.47</v>
      </c>
      <c r="H1875">
        <v>970</v>
      </c>
      <c r="I1875">
        <v>9</v>
      </c>
    </row>
    <row r="1876" spans="1:9" x14ac:dyDescent="0.3">
      <c r="A1876" s="1">
        <v>46204</v>
      </c>
      <c r="B1876" t="s">
        <v>35</v>
      </c>
      <c r="C1876" t="s">
        <v>36</v>
      </c>
      <c r="D1876">
        <v>142.1</v>
      </c>
      <c r="E1876">
        <v>59278.7</v>
      </c>
      <c r="F1876">
        <v>0.6</v>
      </c>
      <c r="G1876">
        <v>1.98</v>
      </c>
      <c r="H1876">
        <v>4172</v>
      </c>
      <c r="I1876">
        <v>10</v>
      </c>
    </row>
    <row r="1877" spans="1:9" x14ac:dyDescent="0.3">
      <c r="A1877" s="1">
        <v>46204</v>
      </c>
      <c r="B1877" t="s">
        <v>43</v>
      </c>
      <c r="C1877" t="s">
        <v>36</v>
      </c>
      <c r="D1877">
        <v>129.03</v>
      </c>
      <c r="E1877">
        <v>16316.06</v>
      </c>
      <c r="F1877">
        <v>0.55000000000000004</v>
      </c>
      <c r="G1877">
        <v>0.55000000000000004</v>
      </c>
      <c r="H1877">
        <v>1265</v>
      </c>
      <c r="I1877">
        <v>11</v>
      </c>
    </row>
    <row r="1878" spans="1:9" x14ac:dyDescent="0.3">
      <c r="A1878" s="1">
        <v>46204</v>
      </c>
      <c r="B1878" t="s">
        <v>39</v>
      </c>
      <c r="C1878" t="s">
        <v>36</v>
      </c>
      <c r="D1878">
        <v>90.65</v>
      </c>
      <c r="E1878">
        <v>10978.29</v>
      </c>
      <c r="F1878">
        <v>0.38</v>
      </c>
      <c r="G1878">
        <v>0.37</v>
      </c>
      <c r="H1878">
        <v>1211</v>
      </c>
      <c r="I1878">
        <v>12</v>
      </c>
    </row>
    <row r="1879" spans="1:9" x14ac:dyDescent="0.3">
      <c r="A1879" s="1">
        <v>46204</v>
      </c>
      <c r="B1879" t="s">
        <v>44</v>
      </c>
      <c r="C1879" t="s">
        <v>36</v>
      </c>
      <c r="D1879">
        <v>70.72</v>
      </c>
      <c r="E1879">
        <v>17528.099999999999</v>
      </c>
      <c r="F1879">
        <v>0.3</v>
      </c>
      <c r="G1879">
        <v>0.59</v>
      </c>
      <c r="H1879">
        <v>2479</v>
      </c>
      <c r="I1879">
        <v>13</v>
      </c>
    </row>
    <row r="1880" spans="1:9" x14ac:dyDescent="0.3">
      <c r="A1880" s="1">
        <v>46204</v>
      </c>
      <c r="B1880" t="s">
        <v>53</v>
      </c>
      <c r="C1880" t="s">
        <v>36</v>
      </c>
      <c r="D1880">
        <v>70.48</v>
      </c>
      <c r="E1880">
        <v>6312.31</v>
      </c>
      <c r="F1880">
        <v>0.3</v>
      </c>
      <c r="G1880">
        <v>0.21</v>
      </c>
      <c r="H1880">
        <v>896</v>
      </c>
      <c r="I1880">
        <v>14</v>
      </c>
    </row>
    <row r="1881" spans="1:9" x14ac:dyDescent="0.3">
      <c r="A1881" s="1">
        <v>46204</v>
      </c>
      <c r="B1881" t="s">
        <v>49</v>
      </c>
      <c r="C1881" t="s">
        <v>36</v>
      </c>
      <c r="D1881">
        <v>69.180000000000007</v>
      </c>
      <c r="E1881">
        <v>8234.2999999999993</v>
      </c>
      <c r="F1881">
        <v>0.28999999999999998</v>
      </c>
      <c r="G1881">
        <v>0.28000000000000003</v>
      </c>
      <c r="H1881">
        <v>1190</v>
      </c>
      <c r="I1881">
        <v>15</v>
      </c>
    </row>
    <row r="1882" spans="1:9" x14ac:dyDescent="0.3">
      <c r="A1882" s="1">
        <v>46204</v>
      </c>
      <c r="B1882" t="s">
        <v>55</v>
      </c>
      <c r="C1882" t="s">
        <v>36</v>
      </c>
      <c r="D1882">
        <v>54.82</v>
      </c>
      <c r="E1882">
        <v>4396.42</v>
      </c>
      <c r="F1882">
        <v>0.23</v>
      </c>
      <c r="G1882">
        <v>0.15</v>
      </c>
      <c r="H1882">
        <v>802</v>
      </c>
      <c r="I1882">
        <v>16</v>
      </c>
    </row>
    <row r="1883" spans="1:9" x14ac:dyDescent="0.3">
      <c r="A1883" s="1">
        <v>46204</v>
      </c>
      <c r="B1883" t="s">
        <v>45</v>
      </c>
      <c r="C1883" t="s">
        <v>36</v>
      </c>
      <c r="D1883">
        <v>53.53</v>
      </c>
      <c r="E1883">
        <v>8179.71</v>
      </c>
      <c r="F1883">
        <v>0.23</v>
      </c>
      <c r="G1883">
        <v>0.27</v>
      </c>
      <c r="H1883">
        <v>1528</v>
      </c>
      <c r="I1883">
        <v>17</v>
      </c>
    </row>
    <row r="1884" spans="1:9" x14ac:dyDescent="0.3">
      <c r="A1884" s="1">
        <v>46204</v>
      </c>
      <c r="B1884" t="s">
        <v>41</v>
      </c>
      <c r="C1884" t="s">
        <v>36</v>
      </c>
      <c r="D1884">
        <v>52.43</v>
      </c>
      <c r="E1884">
        <v>22738.18</v>
      </c>
      <c r="F1884">
        <v>0.22</v>
      </c>
      <c r="G1884">
        <v>0.76</v>
      </c>
      <c r="H1884">
        <v>4337</v>
      </c>
      <c r="I1884">
        <v>18</v>
      </c>
    </row>
    <row r="1885" spans="1:9" x14ac:dyDescent="0.3">
      <c r="A1885" s="1">
        <v>46204</v>
      </c>
      <c r="B1885" t="s">
        <v>54</v>
      </c>
      <c r="C1885" t="s">
        <v>36</v>
      </c>
      <c r="D1885">
        <v>26.25</v>
      </c>
      <c r="E1885">
        <v>6800.75</v>
      </c>
      <c r="F1885">
        <v>0.11</v>
      </c>
      <c r="G1885">
        <v>0.23</v>
      </c>
      <c r="H1885">
        <v>2591</v>
      </c>
      <c r="I1885">
        <v>19</v>
      </c>
    </row>
    <row r="1886" spans="1:9" x14ac:dyDescent="0.3">
      <c r="A1886" s="1">
        <v>46204</v>
      </c>
      <c r="B1886" t="s">
        <v>118</v>
      </c>
      <c r="C1886" t="s">
        <v>36</v>
      </c>
      <c r="D1886">
        <v>19.829999999999998</v>
      </c>
      <c r="E1886">
        <v>2448.61</v>
      </c>
      <c r="F1886">
        <v>0.08</v>
      </c>
      <c r="G1886">
        <v>0.08</v>
      </c>
      <c r="H1886">
        <v>1235</v>
      </c>
      <c r="I1886">
        <v>20</v>
      </c>
    </row>
    <row r="1887" spans="1:9" x14ac:dyDescent="0.3">
      <c r="A1887" s="1">
        <v>46204</v>
      </c>
      <c r="B1887" t="s">
        <v>57</v>
      </c>
      <c r="C1887" t="s">
        <v>36</v>
      </c>
      <c r="D1887">
        <v>18.940000000000001</v>
      </c>
      <c r="E1887">
        <v>2084.79</v>
      </c>
      <c r="F1887">
        <v>0.08</v>
      </c>
      <c r="G1887">
        <v>7.0000000000000007E-2</v>
      </c>
      <c r="H1887">
        <v>1101</v>
      </c>
      <c r="I1887">
        <v>21</v>
      </c>
    </row>
    <row r="1888" spans="1:9" x14ac:dyDescent="0.3">
      <c r="A1888" s="1">
        <v>46204</v>
      </c>
      <c r="B1888" t="s">
        <v>52</v>
      </c>
      <c r="C1888" t="s">
        <v>36</v>
      </c>
      <c r="D1888">
        <v>16.12</v>
      </c>
      <c r="E1888">
        <v>3626.92</v>
      </c>
      <c r="F1888">
        <v>7.0000000000000007E-2</v>
      </c>
      <c r="G1888">
        <v>0.12</v>
      </c>
      <c r="H1888">
        <v>2250</v>
      </c>
      <c r="I1888">
        <v>22</v>
      </c>
    </row>
    <row r="1889" spans="1:9" x14ac:dyDescent="0.3">
      <c r="A1889" s="1">
        <v>46204</v>
      </c>
      <c r="B1889" t="s">
        <v>50</v>
      </c>
      <c r="C1889" t="s">
        <v>36</v>
      </c>
      <c r="D1889">
        <v>15.41</v>
      </c>
      <c r="E1889">
        <v>13216.27</v>
      </c>
      <c r="F1889">
        <v>7.0000000000000007E-2</v>
      </c>
      <c r="G1889">
        <v>0.44</v>
      </c>
      <c r="H1889">
        <v>8576</v>
      </c>
      <c r="I1889">
        <v>23</v>
      </c>
    </row>
    <row r="1890" spans="1:9" x14ac:dyDescent="0.3">
      <c r="A1890" s="1">
        <v>46204</v>
      </c>
      <c r="B1890" t="s">
        <v>122</v>
      </c>
      <c r="C1890" t="s">
        <v>36</v>
      </c>
      <c r="D1890">
        <v>14.84</v>
      </c>
      <c r="E1890">
        <v>293.7</v>
      </c>
      <c r="F1890">
        <v>0.06</v>
      </c>
      <c r="G1890">
        <v>0.01</v>
      </c>
      <c r="H1890">
        <v>198</v>
      </c>
      <c r="I1890">
        <v>24</v>
      </c>
    </row>
    <row r="1891" spans="1:9" x14ac:dyDescent="0.3">
      <c r="A1891" s="1">
        <v>46204</v>
      </c>
      <c r="B1891" t="s">
        <v>48</v>
      </c>
      <c r="C1891" t="s">
        <v>36</v>
      </c>
      <c r="D1891">
        <v>14.1</v>
      </c>
      <c r="E1891">
        <v>1249.17</v>
      </c>
      <c r="F1891">
        <v>0.06</v>
      </c>
      <c r="G1891">
        <v>0.04</v>
      </c>
      <c r="H1891">
        <v>886</v>
      </c>
      <c r="I1891">
        <v>25</v>
      </c>
    </row>
    <row r="1892" spans="1:9" x14ac:dyDescent="0.3">
      <c r="A1892" s="1">
        <v>46204</v>
      </c>
      <c r="B1892" t="s">
        <v>56</v>
      </c>
      <c r="C1892" t="s">
        <v>36</v>
      </c>
      <c r="D1892">
        <v>10.6</v>
      </c>
      <c r="E1892">
        <v>750.73</v>
      </c>
      <c r="F1892">
        <v>0.04</v>
      </c>
      <c r="G1892">
        <v>0.03</v>
      </c>
      <c r="H1892">
        <v>708</v>
      </c>
      <c r="I1892">
        <v>26</v>
      </c>
    </row>
    <row r="1893" spans="1:9" x14ac:dyDescent="0.3">
      <c r="A1893" s="1">
        <v>46204</v>
      </c>
      <c r="B1893" t="s">
        <v>65</v>
      </c>
      <c r="C1893" t="s">
        <v>36</v>
      </c>
      <c r="D1893">
        <v>10.28</v>
      </c>
      <c r="E1893">
        <v>967.65</v>
      </c>
      <c r="F1893">
        <v>0.04</v>
      </c>
      <c r="G1893">
        <v>0.03</v>
      </c>
      <c r="H1893">
        <v>941</v>
      </c>
      <c r="I1893">
        <v>27</v>
      </c>
    </row>
    <row r="1894" spans="1:9" x14ac:dyDescent="0.3">
      <c r="A1894" s="1">
        <v>46204</v>
      </c>
      <c r="B1894" t="s">
        <v>58</v>
      </c>
      <c r="C1894" t="s">
        <v>36</v>
      </c>
      <c r="D1894">
        <v>9.73</v>
      </c>
      <c r="E1894">
        <v>3403.51</v>
      </c>
      <c r="F1894">
        <v>0.04</v>
      </c>
      <c r="G1894">
        <v>0.11</v>
      </c>
      <c r="H1894">
        <v>3498</v>
      </c>
      <c r="I1894">
        <v>28</v>
      </c>
    </row>
    <row r="1895" spans="1:9" x14ac:dyDescent="0.3">
      <c r="A1895" s="1">
        <v>46204</v>
      </c>
      <c r="B1895" t="s">
        <v>62</v>
      </c>
      <c r="C1895" t="s">
        <v>36</v>
      </c>
      <c r="D1895">
        <v>6.34</v>
      </c>
      <c r="E1895">
        <v>407.11</v>
      </c>
      <c r="F1895">
        <v>0.03</v>
      </c>
      <c r="G1895">
        <v>0.01</v>
      </c>
      <c r="H1895">
        <v>642</v>
      </c>
      <c r="I1895">
        <v>29</v>
      </c>
    </row>
    <row r="1896" spans="1:9" x14ac:dyDescent="0.3">
      <c r="A1896" s="1">
        <v>46204</v>
      </c>
      <c r="B1896" t="s">
        <v>112</v>
      </c>
      <c r="C1896" t="s">
        <v>36</v>
      </c>
      <c r="D1896">
        <v>6.13</v>
      </c>
      <c r="E1896">
        <v>469.27</v>
      </c>
      <c r="F1896">
        <v>0.03</v>
      </c>
      <c r="G1896">
        <v>0.02</v>
      </c>
      <c r="H1896">
        <v>766</v>
      </c>
      <c r="I1896">
        <v>30</v>
      </c>
    </row>
    <row r="1897" spans="1:9" x14ac:dyDescent="0.3">
      <c r="A1897" s="1">
        <v>46204</v>
      </c>
      <c r="B1897" t="s">
        <v>59</v>
      </c>
      <c r="C1897" t="s">
        <v>36</v>
      </c>
      <c r="D1897">
        <v>5.08</v>
      </c>
      <c r="E1897">
        <v>853.38</v>
      </c>
      <c r="F1897">
        <v>0.02</v>
      </c>
      <c r="G1897">
        <v>0.03</v>
      </c>
      <c r="H1897">
        <v>1680</v>
      </c>
      <c r="I1897">
        <v>31</v>
      </c>
    </row>
    <row r="1898" spans="1:9" x14ac:dyDescent="0.3">
      <c r="A1898" s="1">
        <v>46204</v>
      </c>
      <c r="B1898" t="s">
        <v>60</v>
      </c>
      <c r="C1898" t="s">
        <v>36</v>
      </c>
      <c r="D1898">
        <v>4.75</v>
      </c>
      <c r="E1898">
        <v>980.39</v>
      </c>
      <c r="F1898">
        <v>0.02</v>
      </c>
      <c r="G1898">
        <v>0.03</v>
      </c>
      <c r="H1898">
        <v>2064</v>
      </c>
      <c r="I1898">
        <v>32</v>
      </c>
    </row>
    <row r="1899" spans="1:9" x14ac:dyDescent="0.3">
      <c r="A1899" s="1">
        <v>46204</v>
      </c>
      <c r="B1899" t="s">
        <v>71</v>
      </c>
      <c r="C1899" t="s">
        <v>36</v>
      </c>
      <c r="D1899">
        <v>4.59</v>
      </c>
      <c r="E1899">
        <v>606.35</v>
      </c>
      <c r="F1899">
        <v>0.02</v>
      </c>
      <c r="G1899">
        <v>0.02</v>
      </c>
      <c r="H1899">
        <v>1321</v>
      </c>
      <c r="I1899">
        <v>33</v>
      </c>
    </row>
    <row r="1900" spans="1:9" x14ac:dyDescent="0.3">
      <c r="A1900" s="1">
        <v>46204</v>
      </c>
      <c r="B1900" t="s">
        <v>61</v>
      </c>
      <c r="C1900" t="s">
        <v>36</v>
      </c>
      <c r="D1900">
        <v>4.24</v>
      </c>
      <c r="E1900">
        <v>1186.82</v>
      </c>
      <c r="F1900">
        <v>0.02</v>
      </c>
      <c r="G1900">
        <v>0.04</v>
      </c>
      <c r="H1900">
        <v>2799</v>
      </c>
      <c r="I1900">
        <v>34</v>
      </c>
    </row>
    <row r="1901" spans="1:9" x14ac:dyDescent="0.3">
      <c r="A1901" s="1">
        <v>46204</v>
      </c>
      <c r="B1901" t="s">
        <v>51</v>
      </c>
      <c r="C1901" t="s">
        <v>36</v>
      </c>
      <c r="D1901">
        <v>3.47</v>
      </c>
      <c r="E1901">
        <v>140.94</v>
      </c>
      <c r="F1901">
        <v>0.01</v>
      </c>
      <c r="G1901">
        <v>0</v>
      </c>
      <c r="H1901">
        <v>406</v>
      </c>
      <c r="I1901">
        <v>35</v>
      </c>
    </row>
    <row r="1902" spans="1:9" x14ac:dyDescent="0.3">
      <c r="A1902" s="1">
        <v>46204</v>
      </c>
      <c r="B1902" t="s">
        <v>67</v>
      </c>
      <c r="C1902" t="s">
        <v>36</v>
      </c>
      <c r="D1902">
        <v>3.38</v>
      </c>
      <c r="E1902">
        <v>2696.94</v>
      </c>
      <c r="F1902">
        <v>0.01</v>
      </c>
      <c r="G1902">
        <v>0.09</v>
      </c>
      <c r="H1902">
        <v>7979</v>
      </c>
      <c r="I1902">
        <v>36</v>
      </c>
    </row>
    <row r="1903" spans="1:9" x14ac:dyDescent="0.3">
      <c r="A1903" s="1">
        <v>46204</v>
      </c>
      <c r="B1903" t="s">
        <v>115</v>
      </c>
      <c r="C1903" t="s">
        <v>36</v>
      </c>
      <c r="D1903">
        <v>3.31</v>
      </c>
      <c r="E1903">
        <v>1222.72</v>
      </c>
      <c r="F1903">
        <v>0.01</v>
      </c>
      <c r="G1903">
        <v>0.04</v>
      </c>
      <c r="H1903">
        <v>3694</v>
      </c>
      <c r="I1903">
        <v>37</v>
      </c>
    </row>
    <row r="1904" spans="1:9" x14ac:dyDescent="0.3">
      <c r="A1904" s="1">
        <v>46204</v>
      </c>
      <c r="B1904" t="s">
        <v>98</v>
      </c>
      <c r="C1904" t="s">
        <v>36</v>
      </c>
      <c r="D1904">
        <v>3.26</v>
      </c>
      <c r="E1904">
        <v>344.64</v>
      </c>
      <c r="F1904">
        <v>0.01</v>
      </c>
      <c r="G1904">
        <v>0.01</v>
      </c>
      <c r="H1904">
        <v>1057</v>
      </c>
      <c r="I1904">
        <v>38</v>
      </c>
    </row>
    <row r="1905" spans="1:9" x14ac:dyDescent="0.3">
      <c r="A1905" s="1">
        <v>46204</v>
      </c>
      <c r="B1905" t="s">
        <v>82</v>
      </c>
      <c r="C1905" t="s">
        <v>36</v>
      </c>
      <c r="D1905">
        <v>2.5499999999999998</v>
      </c>
      <c r="E1905">
        <v>560.53</v>
      </c>
      <c r="F1905">
        <v>0.01</v>
      </c>
      <c r="G1905">
        <v>0.02</v>
      </c>
      <c r="H1905">
        <v>2198</v>
      </c>
      <c r="I1905">
        <v>39</v>
      </c>
    </row>
    <row r="1906" spans="1:9" x14ac:dyDescent="0.3">
      <c r="A1906" s="1">
        <v>46204</v>
      </c>
      <c r="B1906" t="s">
        <v>63</v>
      </c>
      <c r="C1906" t="s">
        <v>36</v>
      </c>
      <c r="D1906">
        <v>2.14</v>
      </c>
      <c r="E1906">
        <v>591.34</v>
      </c>
      <c r="F1906">
        <v>0.01</v>
      </c>
      <c r="G1906">
        <v>0.02</v>
      </c>
      <c r="H1906">
        <v>2763</v>
      </c>
      <c r="I1906">
        <v>40</v>
      </c>
    </row>
    <row r="1907" spans="1:9" x14ac:dyDescent="0.3">
      <c r="A1907" s="1">
        <v>46204</v>
      </c>
      <c r="B1907" t="s">
        <v>64</v>
      </c>
      <c r="C1907" t="s">
        <v>36</v>
      </c>
      <c r="D1907">
        <v>1.94</v>
      </c>
      <c r="E1907">
        <v>520.85</v>
      </c>
      <c r="F1907">
        <v>0.01</v>
      </c>
      <c r="G1907">
        <v>0.02</v>
      </c>
      <c r="H1907">
        <v>2685</v>
      </c>
      <c r="I1907">
        <v>41</v>
      </c>
    </row>
    <row r="1908" spans="1:9" x14ac:dyDescent="0.3">
      <c r="A1908" s="1">
        <v>46204</v>
      </c>
      <c r="B1908" t="s">
        <v>69</v>
      </c>
      <c r="C1908" t="s">
        <v>36</v>
      </c>
      <c r="D1908">
        <v>1.85</v>
      </c>
      <c r="E1908">
        <v>530.25</v>
      </c>
      <c r="F1908">
        <v>0.01</v>
      </c>
      <c r="G1908">
        <v>0.02</v>
      </c>
      <c r="H1908">
        <v>2866</v>
      </c>
      <c r="I1908">
        <v>42</v>
      </c>
    </row>
    <row r="1909" spans="1:9" x14ac:dyDescent="0.3">
      <c r="A1909" s="1">
        <v>46204</v>
      </c>
      <c r="B1909" t="s">
        <v>68</v>
      </c>
      <c r="C1909" t="s">
        <v>36</v>
      </c>
      <c r="D1909">
        <v>1.83</v>
      </c>
      <c r="E1909">
        <v>102.19</v>
      </c>
      <c r="F1909">
        <v>0.01</v>
      </c>
      <c r="G1909">
        <v>0</v>
      </c>
      <c r="H1909">
        <v>558</v>
      </c>
      <c r="I1909">
        <v>43</v>
      </c>
    </row>
    <row r="1910" spans="1:9" x14ac:dyDescent="0.3">
      <c r="A1910" s="1">
        <v>46204</v>
      </c>
      <c r="B1910" t="s">
        <v>87</v>
      </c>
      <c r="C1910" t="s">
        <v>36</v>
      </c>
      <c r="D1910">
        <v>1.71</v>
      </c>
      <c r="E1910">
        <v>186.48</v>
      </c>
      <c r="F1910">
        <v>0.01</v>
      </c>
      <c r="G1910">
        <v>0.01</v>
      </c>
      <c r="H1910">
        <v>1091</v>
      </c>
      <c r="I1910">
        <v>44</v>
      </c>
    </row>
    <row r="1911" spans="1:9" x14ac:dyDescent="0.3">
      <c r="A1911" s="1">
        <v>46204</v>
      </c>
      <c r="B1911" t="s">
        <v>79</v>
      </c>
      <c r="C1911" t="s">
        <v>36</v>
      </c>
      <c r="D1911">
        <v>1.59</v>
      </c>
      <c r="E1911">
        <v>556.72</v>
      </c>
      <c r="F1911">
        <v>0.01</v>
      </c>
      <c r="G1911">
        <v>0.02</v>
      </c>
      <c r="H1911">
        <v>3501</v>
      </c>
      <c r="I1911">
        <v>45</v>
      </c>
    </row>
    <row r="1912" spans="1:9" x14ac:dyDescent="0.3">
      <c r="A1912" s="1">
        <v>46204</v>
      </c>
      <c r="B1912" t="s">
        <v>76</v>
      </c>
      <c r="C1912" t="s">
        <v>36</v>
      </c>
      <c r="D1912">
        <v>1.49</v>
      </c>
      <c r="E1912">
        <v>196.1</v>
      </c>
      <c r="F1912">
        <v>0.01</v>
      </c>
      <c r="G1912">
        <v>0.01</v>
      </c>
      <c r="H1912">
        <v>1316</v>
      </c>
      <c r="I1912">
        <v>46</v>
      </c>
    </row>
    <row r="1913" spans="1:9" x14ac:dyDescent="0.3">
      <c r="A1913" s="1">
        <v>46204</v>
      </c>
      <c r="B1913" t="s">
        <v>66</v>
      </c>
      <c r="C1913" t="s">
        <v>36</v>
      </c>
      <c r="D1913">
        <v>1.34</v>
      </c>
      <c r="E1913">
        <v>24.38</v>
      </c>
      <c r="F1913">
        <v>0.01</v>
      </c>
      <c r="G1913">
        <v>0</v>
      </c>
      <c r="H1913">
        <v>182</v>
      </c>
      <c r="I1913">
        <v>47</v>
      </c>
    </row>
    <row r="1914" spans="1:9" x14ac:dyDescent="0.3">
      <c r="A1914" s="1">
        <v>46204</v>
      </c>
      <c r="B1914" t="s">
        <v>80</v>
      </c>
      <c r="C1914" t="s">
        <v>36</v>
      </c>
      <c r="D1914">
        <v>1.2</v>
      </c>
      <c r="E1914">
        <v>214.05</v>
      </c>
      <c r="F1914">
        <v>0.01</v>
      </c>
      <c r="G1914">
        <v>0.01</v>
      </c>
      <c r="H1914">
        <v>1784</v>
      </c>
      <c r="I1914">
        <v>48</v>
      </c>
    </row>
    <row r="1915" spans="1:9" x14ac:dyDescent="0.3">
      <c r="A1915" s="1">
        <v>46204</v>
      </c>
      <c r="B1915" t="s">
        <v>74</v>
      </c>
      <c r="C1915" t="s">
        <v>36</v>
      </c>
      <c r="D1915">
        <v>1.05</v>
      </c>
      <c r="E1915">
        <v>321.83999999999997</v>
      </c>
      <c r="F1915">
        <v>0</v>
      </c>
      <c r="G1915">
        <v>0.01</v>
      </c>
      <c r="H1915">
        <v>3065</v>
      </c>
      <c r="I1915">
        <v>49</v>
      </c>
    </row>
    <row r="1916" spans="1:9" x14ac:dyDescent="0.3">
      <c r="A1916" s="1">
        <v>46204</v>
      </c>
      <c r="B1916" t="s">
        <v>78</v>
      </c>
      <c r="C1916" t="s">
        <v>36</v>
      </c>
      <c r="D1916">
        <v>1.04</v>
      </c>
      <c r="E1916">
        <v>322.36</v>
      </c>
      <c r="F1916">
        <v>0</v>
      </c>
      <c r="G1916">
        <v>0.01</v>
      </c>
      <c r="H1916">
        <v>3100</v>
      </c>
      <c r="I1916">
        <v>50</v>
      </c>
    </row>
    <row r="1917" spans="1:9" x14ac:dyDescent="0.3">
      <c r="A1917" s="1">
        <v>46204</v>
      </c>
      <c r="B1917" t="s">
        <v>73</v>
      </c>
      <c r="C1917" t="s">
        <v>36</v>
      </c>
      <c r="D1917">
        <v>1.03</v>
      </c>
      <c r="E1917">
        <v>351.03</v>
      </c>
      <c r="F1917">
        <v>0</v>
      </c>
      <c r="G1917">
        <v>0.01</v>
      </c>
      <c r="H1917">
        <v>3408</v>
      </c>
      <c r="I1917">
        <v>51</v>
      </c>
    </row>
    <row r="1918" spans="1:9" x14ac:dyDescent="0.3">
      <c r="A1918" s="1">
        <v>46204</v>
      </c>
      <c r="B1918" t="s">
        <v>102</v>
      </c>
      <c r="C1918" t="s">
        <v>36</v>
      </c>
      <c r="D1918">
        <v>0.85</v>
      </c>
      <c r="E1918">
        <v>103.43</v>
      </c>
      <c r="F1918">
        <v>0</v>
      </c>
      <c r="G1918">
        <v>0</v>
      </c>
      <c r="H1918">
        <v>1217</v>
      </c>
      <c r="I1918">
        <v>52</v>
      </c>
    </row>
    <row r="1919" spans="1:9" x14ac:dyDescent="0.3">
      <c r="A1919" s="1">
        <v>46204</v>
      </c>
      <c r="B1919" t="s">
        <v>72</v>
      </c>
      <c r="C1919" t="s">
        <v>36</v>
      </c>
      <c r="D1919">
        <v>0.84</v>
      </c>
      <c r="E1919">
        <v>13.5</v>
      </c>
      <c r="F1919">
        <v>0</v>
      </c>
      <c r="G1919">
        <v>0</v>
      </c>
      <c r="H1919">
        <v>161</v>
      </c>
      <c r="I1919">
        <v>53</v>
      </c>
    </row>
    <row r="1920" spans="1:9" x14ac:dyDescent="0.3">
      <c r="A1920" s="1">
        <v>46204</v>
      </c>
      <c r="B1920" t="s">
        <v>81</v>
      </c>
      <c r="C1920" t="s">
        <v>36</v>
      </c>
      <c r="D1920">
        <v>0.74</v>
      </c>
      <c r="E1920">
        <v>48.49</v>
      </c>
      <c r="F1920">
        <v>0</v>
      </c>
      <c r="G1920">
        <v>0</v>
      </c>
      <c r="H1920">
        <v>655</v>
      </c>
      <c r="I1920">
        <v>54</v>
      </c>
    </row>
    <row r="1921" spans="1:9" x14ac:dyDescent="0.3">
      <c r="A1921" s="1">
        <v>46204</v>
      </c>
      <c r="B1921" t="s">
        <v>77</v>
      </c>
      <c r="C1921" t="s">
        <v>36</v>
      </c>
      <c r="D1921">
        <v>0.74</v>
      </c>
      <c r="E1921">
        <v>65.61</v>
      </c>
      <c r="F1921">
        <v>0</v>
      </c>
      <c r="G1921">
        <v>0</v>
      </c>
      <c r="H1921">
        <v>887</v>
      </c>
      <c r="I1921">
        <v>54</v>
      </c>
    </row>
    <row r="1922" spans="1:9" x14ac:dyDescent="0.3">
      <c r="A1922" s="1">
        <v>46204</v>
      </c>
      <c r="B1922" t="s">
        <v>83</v>
      </c>
      <c r="C1922" t="s">
        <v>36</v>
      </c>
      <c r="D1922">
        <v>0.74</v>
      </c>
      <c r="E1922">
        <v>22.34</v>
      </c>
      <c r="F1922">
        <v>0</v>
      </c>
      <c r="G1922">
        <v>0</v>
      </c>
      <c r="H1922">
        <v>302</v>
      </c>
      <c r="I1922">
        <v>54</v>
      </c>
    </row>
    <row r="1923" spans="1:9" x14ac:dyDescent="0.3">
      <c r="A1923" s="1">
        <v>46204</v>
      </c>
      <c r="B1923" t="s">
        <v>84</v>
      </c>
      <c r="C1923" t="s">
        <v>36</v>
      </c>
      <c r="D1923">
        <v>0.69</v>
      </c>
      <c r="E1923">
        <v>185.37</v>
      </c>
      <c r="F1923">
        <v>0</v>
      </c>
      <c r="G1923">
        <v>0.01</v>
      </c>
      <c r="H1923">
        <v>2687</v>
      </c>
      <c r="I1923">
        <v>57</v>
      </c>
    </row>
    <row r="1924" spans="1:9" x14ac:dyDescent="0.3">
      <c r="A1924" s="1">
        <v>46204</v>
      </c>
      <c r="B1924" t="s">
        <v>114</v>
      </c>
      <c r="C1924" t="s">
        <v>36</v>
      </c>
      <c r="D1924">
        <v>0.68</v>
      </c>
      <c r="E1924">
        <v>63.34</v>
      </c>
      <c r="F1924">
        <v>0</v>
      </c>
      <c r="G1924">
        <v>0</v>
      </c>
      <c r="H1924">
        <v>931</v>
      </c>
      <c r="I1924">
        <v>58</v>
      </c>
    </row>
    <row r="1925" spans="1:9" x14ac:dyDescent="0.3">
      <c r="A1925" s="1">
        <v>46204</v>
      </c>
      <c r="B1925" t="s">
        <v>121</v>
      </c>
      <c r="C1925" t="s">
        <v>36</v>
      </c>
      <c r="D1925">
        <v>0.65</v>
      </c>
      <c r="E1925">
        <v>14.36</v>
      </c>
      <c r="F1925">
        <v>0</v>
      </c>
      <c r="G1925">
        <v>0</v>
      </c>
      <c r="H1925">
        <v>221</v>
      </c>
      <c r="I1925">
        <v>59</v>
      </c>
    </row>
    <row r="1926" spans="1:9" x14ac:dyDescent="0.3">
      <c r="A1926" s="1">
        <v>46204</v>
      </c>
      <c r="B1926" t="s">
        <v>97</v>
      </c>
      <c r="C1926" t="s">
        <v>36</v>
      </c>
      <c r="D1926">
        <v>0.65</v>
      </c>
      <c r="E1926">
        <v>35.130000000000003</v>
      </c>
      <c r="F1926">
        <v>0</v>
      </c>
      <c r="G1926">
        <v>0</v>
      </c>
      <c r="H1926">
        <v>540</v>
      </c>
      <c r="I1926">
        <v>59</v>
      </c>
    </row>
    <row r="1927" spans="1:9" x14ac:dyDescent="0.3">
      <c r="A1927" s="1">
        <v>46204</v>
      </c>
      <c r="B1927" t="s">
        <v>70</v>
      </c>
      <c r="C1927" t="s">
        <v>36</v>
      </c>
      <c r="D1927">
        <v>0.63</v>
      </c>
      <c r="E1927">
        <v>209.46</v>
      </c>
      <c r="F1927">
        <v>0</v>
      </c>
      <c r="G1927">
        <v>0.01</v>
      </c>
      <c r="H1927">
        <v>3325</v>
      </c>
      <c r="I1927">
        <v>61</v>
      </c>
    </row>
    <row r="1928" spans="1:9" x14ac:dyDescent="0.3">
      <c r="A1928" s="1">
        <v>46204</v>
      </c>
      <c r="B1928" t="s">
        <v>75</v>
      </c>
      <c r="C1928" t="s">
        <v>36</v>
      </c>
      <c r="D1928">
        <v>0.59</v>
      </c>
      <c r="E1928">
        <v>202.22</v>
      </c>
      <c r="F1928">
        <v>0</v>
      </c>
      <c r="G1928">
        <v>0.01</v>
      </c>
      <c r="H1928">
        <v>3427</v>
      </c>
      <c r="I1928">
        <v>62</v>
      </c>
    </row>
    <row r="1929" spans="1:9" x14ac:dyDescent="0.3">
      <c r="A1929" s="1">
        <v>46204</v>
      </c>
      <c r="B1929" t="s">
        <v>100</v>
      </c>
      <c r="C1929" t="s">
        <v>36</v>
      </c>
      <c r="D1929">
        <v>0.51</v>
      </c>
      <c r="E1929">
        <v>609.35</v>
      </c>
      <c r="F1929">
        <v>0</v>
      </c>
      <c r="G1929">
        <v>0.02</v>
      </c>
      <c r="H1929">
        <v>11948</v>
      </c>
      <c r="I1929">
        <v>63</v>
      </c>
    </row>
    <row r="1930" spans="1:9" x14ac:dyDescent="0.3">
      <c r="A1930" s="1">
        <v>46204</v>
      </c>
      <c r="B1930" t="s">
        <v>113</v>
      </c>
      <c r="C1930" t="s">
        <v>36</v>
      </c>
      <c r="D1930">
        <v>0.42</v>
      </c>
      <c r="E1930">
        <v>35.89</v>
      </c>
      <c r="F1930">
        <v>0</v>
      </c>
      <c r="G1930">
        <v>0</v>
      </c>
      <c r="H1930">
        <v>855</v>
      </c>
      <c r="I1930">
        <v>64</v>
      </c>
    </row>
    <row r="1931" spans="1:9" x14ac:dyDescent="0.3">
      <c r="A1931" s="1">
        <v>46204</v>
      </c>
      <c r="B1931" t="s">
        <v>117</v>
      </c>
      <c r="C1931" t="s">
        <v>36</v>
      </c>
      <c r="D1931">
        <v>0.39</v>
      </c>
      <c r="E1931">
        <v>59.55</v>
      </c>
      <c r="F1931">
        <v>0</v>
      </c>
      <c r="G1931">
        <v>0</v>
      </c>
      <c r="H1931">
        <v>1527</v>
      </c>
      <c r="I1931">
        <v>65</v>
      </c>
    </row>
    <row r="1932" spans="1:9" x14ac:dyDescent="0.3">
      <c r="A1932" s="1">
        <v>46204</v>
      </c>
      <c r="B1932" t="s">
        <v>89</v>
      </c>
      <c r="C1932" t="s">
        <v>36</v>
      </c>
      <c r="D1932">
        <v>0.34</v>
      </c>
      <c r="E1932">
        <v>120.01</v>
      </c>
      <c r="F1932">
        <v>0</v>
      </c>
      <c r="G1932">
        <v>0</v>
      </c>
      <c r="H1932">
        <v>3530</v>
      </c>
      <c r="I1932">
        <v>66</v>
      </c>
    </row>
    <row r="1933" spans="1:9" x14ac:dyDescent="0.3">
      <c r="A1933" s="1">
        <v>46204</v>
      </c>
      <c r="B1933" t="s">
        <v>130</v>
      </c>
      <c r="C1933" t="s">
        <v>36</v>
      </c>
      <c r="D1933">
        <v>0.32</v>
      </c>
      <c r="E1933">
        <v>155.6</v>
      </c>
      <c r="F1933">
        <v>0</v>
      </c>
      <c r="G1933">
        <v>0.01</v>
      </c>
      <c r="H1933">
        <v>4863</v>
      </c>
      <c r="I1933">
        <v>67</v>
      </c>
    </row>
    <row r="1934" spans="1:9" x14ac:dyDescent="0.3">
      <c r="A1934" s="1">
        <v>46204</v>
      </c>
      <c r="B1934" t="s">
        <v>94</v>
      </c>
      <c r="C1934" t="s">
        <v>36</v>
      </c>
      <c r="D1934">
        <v>0.28999999999999998</v>
      </c>
      <c r="E1934">
        <v>20.69</v>
      </c>
      <c r="F1934">
        <v>0</v>
      </c>
      <c r="G1934">
        <v>0</v>
      </c>
      <c r="H1934">
        <v>713</v>
      </c>
      <c r="I1934">
        <v>68</v>
      </c>
    </row>
    <row r="1935" spans="1:9" x14ac:dyDescent="0.3">
      <c r="A1935" s="1">
        <v>46204</v>
      </c>
      <c r="B1935" t="s">
        <v>88</v>
      </c>
      <c r="C1935" t="s">
        <v>36</v>
      </c>
      <c r="D1935">
        <v>0.28000000000000003</v>
      </c>
      <c r="E1935">
        <v>76.430000000000007</v>
      </c>
      <c r="F1935">
        <v>0</v>
      </c>
      <c r="G1935">
        <v>0</v>
      </c>
      <c r="H1935">
        <v>2730</v>
      </c>
      <c r="I1935">
        <v>69</v>
      </c>
    </row>
    <row r="1936" spans="1:9" x14ac:dyDescent="0.3">
      <c r="A1936" s="1">
        <v>46204</v>
      </c>
      <c r="B1936" t="s">
        <v>93</v>
      </c>
      <c r="C1936" t="s">
        <v>36</v>
      </c>
      <c r="D1936">
        <v>0.27</v>
      </c>
      <c r="E1936">
        <v>137.77000000000001</v>
      </c>
      <c r="F1936">
        <v>0</v>
      </c>
      <c r="G1936">
        <v>0</v>
      </c>
      <c r="H1936">
        <v>5103</v>
      </c>
      <c r="I1936">
        <v>70</v>
      </c>
    </row>
    <row r="1937" spans="1:9" x14ac:dyDescent="0.3">
      <c r="A1937" s="1">
        <v>46204</v>
      </c>
      <c r="B1937" t="s">
        <v>127</v>
      </c>
      <c r="C1937" t="s">
        <v>36</v>
      </c>
      <c r="D1937">
        <v>0.24</v>
      </c>
      <c r="E1937">
        <v>37.33</v>
      </c>
      <c r="F1937">
        <v>0</v>
      </c>
      <c r="G1937">
        <v>0</v>
      </c>
      <c r="H1937">
        <v>1555</v>
      </c>
      <c r="I1937">
        <v>71</v>
      </c>
    </row>
    <row r="1938" spans="1:9" x14ac:dyDescent="0.3">
      <c r="A1938" s="1">
        <v>46204</v>
      </c>
      <c r="B1938" t="s">
        <v>133</v>
      </c>
      <c r="C1938" t="s">
        <v>36</v>
      </c>
      <c r="D1938">
        <v>0.22</v>
      </c>
      <c r="E1938">
        <v>20.059999999999999</v>
      </c>
      <c r="F1938">
        <v>0</v>
      </c>
      <c r="G1938">
        <v>0</v>
      </c>
      <c r="H1938">
        <v>912</v>
      </c>
      <c r="I1938">
        <v>72</v>
      </c>
    </row>
    <row r="1939" spans="1:9" x14ac:dyDescent="0.3">
      <c r="A1939" s="1">
        <v>46204</v>
      </c>
      <c r="B1939" t="s">
        <v>85</v>
      </c>
      <c r="C1939" t="s">
        <v>36</v>
      </c>
      <c r="D1939">
        <v>0.2</v>
      </c>
      <c r="E1939">
        <v>50.26</v>
      </c>
      <c r="F1939">
        <v>0</v>
      </c>
      <c r="G1939">
        <v>0</v>
      </c>
      <c r="H1939">
        <v>2513</v>
      </c>
      <c r="I1939">
        <v>73</v>
      </c>
    </row>
    <row r="1940" spans="1:9" x14ac:dyDescent="0.3">
      <c r="A1940" s="1">
        <v>46204</v>
      </c>
      <c r="B1940" t="s">
        <v>95</v>
      </c>
      <c r="C1940" t="s">
        <v>36</v>
      </c>
      <c r="D1940">
        <v>0.16</v>
      </c>
      <c r="E1940">
        <v>145.30000000000001</v>
      </c>
      <c r="F1940">
        <v>0</v>
      </c>
      <c r="G1940">
        <v>0</v>
      </c>
      <c r="H1940">
        <v>9081</v>
      </c>
      <c r="I1940">
        <v>74</v>
      </c>
    </row>
    <row r="1941" spans="1:9" x14ac:dyDescent="0.3">
      <c r="A1941" s="1">
        <v>46204</v>
      </c>
      <c r="B1941" t="s">
        <v>116</v>
      </c>
      <c r="C1941" t="s">
        <v>36</v>
      </c>
      <c r="D1941">
        <v>0.14000000000000001</v>
      </c>
      <c r="E1941">
        <v>47.44</v>
      </c>
      <c r="F1941">
        <v>0</v>
      </c>
      <c r="G1941">
        <v>0</v>
      </c>
      <c r="H1941">
        <v>3389</v>
      </c>
      <c r="I1941">
        <v>75</v>
      </c>
    </row>
    <row r="1942" spans="1:9" x14ac:dyDescent="0.3">
      <c r="A1942" s="1">
        <v>46204</v>
      </c>
      <c r="B1942" t="s">
        <v>101</v>
      </c>
      <c r="C1942" t="s">
        <v>36</v>
      </c>
      <c r="D1942">
        <v>0.14000000000000001</v>
      </c>
      <c r="E1942">
        <v>48.74</v>
      </c>
      <c r="F1942">
        <v>0</v>
      </c>
      <c r="G1942">
        <v>0</v>
      </c>
      <c r="H1942">
        <v>3481</v>
      </c>
      <c r="I1942">
        <v>75</v>
      </c>
    </row>
    <row r="1943" spans="1:9" x14ac:dyDescent="0.3">
      <c r="A1943" s="1">
        <v>46204</v>
      </c>
      <c r="B1943" t="s">
        <v>90</v>
      </c>
      <c r="C1943" t="s">
        <v>36</v>
      </c>
      <c r="D1943">
        <v>0.13</v>
      </c>
      <c r="E1943">
        <v>7.43</v>
      </c>
      <c r="F1943">
        <v>0</v>
      </c>
      <c r="G1943">
        <v>0</v>
      </c>
      <c r="H1943">
        <v>572</v>
      </c>
      <c r="I1943">
        <v>77</v>
      </c>
    </row>
    <row r="1944" spans="1:9" x14ac:dyDescent="0.3">
      <c r="A1944" s="1">
        <v>46204</v>
      </c>
      <c r="B1944" t="s">
        <v>128</v>
      </c>
      <c r="C1944" t="s">
        <v>36</v>
      </c>
      <c r="D1944">
        <v>0.12</v>
      </c>
      <c r="E1944">
        <v>23.26</v>
      </c>
      <c r="F1944">
        <v>0</v>
      </c>
      <c r="G1944">
        <v>0</v>
      </c>
      <c r="H1944">
        <v>1938</v>
      </c>
      <c r="I1944">
        <v>78</v>
      </c>
    </row>
    <row r="1945" spans="1:9" x14ac:dyDescent="0.3">
      <c r="A1945" s="1">
        <v>46204</v>
      </c>
      <c r="B1945" t="s">
        <v>96</v>
      </c>
      <c r="C1945" t="s">
        <v>36</v>
      </c>
      <c r="D1945">
        <v>0.12</v>
      </c>
      <c r="E1945">
        <v>45.14</v>
      </c>
      <c r="F1945">
        <v>0</v>
      </c>
      <c r="G1945">
        <v>0</v>
      </c>
      <c r="H1945">
        <v>3762</v>
      </c>
      <c r="I1945">
        <v>78</v>
      </c>
    </row>
    <row r="1946" spans="1:9" x14ac:dyDescent="0.3">
      <c r="A1946" s="1">
        <v>46204</v>
      </c>
      <c r="B1946" t="s">
        <v>99</v>
      </c>
      <c r="C1946" t="s">
        <v>36</v>
      </c>
      <c r="D1946">
        <v>0.1</v>
      </c>
      <c r="E1946">
        <v>3.54</v>
      </c>
      <c r="F1946">
        <v>0</v>
      </c>
      <c r="G1946">
        <v>0</v>
      </c>
      <c r="H1946">
        <v>354</v>
      </c>
      <c r="I1946">
        <v>80</v>
      </c>
    </row>
    <row r="1947" spans="1:9" x14ac:dyDescent="0.3">
      <c r="A1947" s="1">
        <v>46204</v>
      </c>
      <c r="B1947" t="s">
        <v>105</v>
      </c>
      <c r="C1947" t="s">
        <v>36</v>
      </c>
      <c r="D1947">
        <v>0.09</v>
      </c>
      <c r="E1947">
        <v>24.99</v>
      </c>
      <c r="F1947">
        <v>0</v>
      </c>
      <c r="G1947">
        <v>0</v>
      </c>
      <c r="H1947">
        <v>2777</v>
      </c>
      <c r="I1947">
        <v>81</v>
      </c>
    </row>
    <row r="1948" spans="1:9" x14ac:dyDescent="0.3">
      <c r="A1948" s="1">
        <v>46204</v>
      </c>
      <c r="B1948" t="s">
        <v>86</v>
      </c>
      <c r="C1948" t="s">
        <v>36</v>
      </c>
      <c r="D1948">
        <v>0.09</v>
      </c>
      <c r="E1948">
        <v>29.51</v>
      </c>
      <c r="F1948">
        <v>0</v>
      </c>
      <c r="G1948">
        <v>0</v>
      </c>
      <c r="H1948">
        <v>3279</v>
      </c>
      <c r="I1948">
        <v>81</v>
      </c>
    </row>
    <row r="1949" spans="1:9" x14ac:dyDescent="0.3">
      <c r="A1949" s="1">
        <v>46204</v>
      </c>
      <c r="B1949" t="s">
        <v>125</v>
      </c>
      <c r="C1949" t="s">
        <v>36</v>
      </c>
      <c r="D1949">
        <v>7.0000000000000007E-2</v>
      </c>
      <c r="E1949">
        <v>4.62</v>
      </c>
      <c r="F1949">
        <v>0</v>
      </c>
      <c r="G1949">
        <v>0</v>
      </c>
      <c r="H1949">
        <v>660</v>
      </c>
      <c r="I1949">
        <v>83</v>
      </c>
    </row>
    <row r="1950" spans="1:9" x14ac:dyDescent="0.3">
      <c r="A1950" s="1">
        <v>46204</v>
      </c>
      <c r="B1950" t="s">
        <v>119</v>
      </c>
      <c r="C1950" t="s">
        <v>36</v>
      </c>
      <c r="D1950">
        <v>7.0000000000000007E-2</v>
      </c>
      <c r="E1950">
        <v>7.57</v>
      </c>
      <c r="F1950">
        <v>0</v>
      </c>
      <c r="G1950">
        <v>0</v>
      </c>
      <c r="H1950">
        <v>1081</v>
      </c>
      <c r="I1950">
        <v>83</v>
      </c>
    </row>
    <row r="1951" spans="1:9" x14ac:dyDescent="0.3">
      <c r="A1951" s="1">
        <v>46204</v>
      </c>
      <c r="B1951" t="s">
        <v>110</v>
      </c>
      <c r="C1951" t="s">
        <v>36</v>
      </c>
      <c r="D1951">
        <v>0.06</v>
      </c>
      <c r="E1951">
        <v>6.04</v>
      </c>
      <c r="F1951">
        <v>0</v>
      </c>
      <c r="G1951">
        <v>0</v>
      </c>
      <c r="H1951">
        <v>1007</v>
      </c>
      <c r="I1951">
        <v>85</v>
      </c>
    </row>
    <row r="1952" spans="1:9" x14ac:dyDescent="0.3">
      <c r="A1952" s="1">
        <v>46204</v>
      </c>
      <c r="B1952" t="s">
        <v>126</v>
      </c>
      <c r="C1952" t="s">
        <v>36</v>
      </c>
      <c r="D1952">
        <v>0.05</v>
      </c>
      <c r="E1952">
        <v>4.9000000000000004</v>
      </c>
      <c r="F1952">
        <v>0</v>
      </c>
      <c r="G1952">
        <v>0</v>
      </c>
      <c r="H1952">
        <v>980</v>
      </c>
      <c r="I1952">
        <v>86</v>
      </c>
    </row>
    <row r="1953" spans="1:9" x14ac:dyDescent="0.3">
      <c r="A1953" s="1">
        <v>46204</v>
      </c>
      <c r="B1953" t="s">
        <v>134</v>
      </c>
      <c r="C1953" t="s">
        <v>36</v>
      </c>
      <c r="D1953">
        <v>0.04</v>
      </c>
      <c r="E1953">
        <v>1.05</v>
      </c>
      <c r="F1953">
        <v>0</v>
      </c>
      <c r="G1953">
        <v>0</v>
      </c>
      <c r="H1953">
        <v>263</v>
      </c>
      <c r="I1953">
        <v>87</v>
      </c>
    </row>
    <row r="1954" spans="1:9" x14ac:dyDescent="0.3">
      <c r="A1954" s="1">
        <v>46204</v>
      </c>
      <c r="B1954" t="s">
        <v>104</v>
      </c>
      <c r="C1954" t="s">
        <v>36</v>
      </c>
      <c r="D1954">
        <v>0.03</v>
      </c>
      <c r="E1954">
        <v>15.54</v>
      </c>
      <c r="F1954">
        <v>0</v>
      </c>
      <c r="G1954">
        <v>0</v>
      </c>
      <c r="H1954">
        <v>5180</v>
      </c>
      <c r="I1954">
        <v>88</v>
      </c>
    </row>
    <row r="1955" spans="1:9" x14ac:dyDescent="0.3">
      <c r="A1955" s="1">
        <v>46204</v>
      </c>
      <c r="B1955" t="s">
        <v>129</v>
      </c>
      <c r="C1955" t="s">
        <v>36</v>
      </c>
      <c r="D1955">
        <v>0.03</v>
      </c>
      <c r="E1955">
        <v>2.61</v>
      </c>
      <c r="F1955">
        <v>0</v>
      </c>
      <c r="G1955">
        <v>0</v>
      </c>
      <c r="H1955">
        <v>870</v>
      </c>
      <c r="I1955">
        <v>88</v>
      </c>
    </row>
    <row r="1956" spans="1:9" x14ac:dyDescent="0.3">
      <c r="A1956" s="1">
        <v>46204</v>
      </c>
      <c r="B1956" t="s">
        <v>132</v>
      </c>
      <c r="C1956" t="s">
        <v>36</v>
      </c>
      <c r="D1956">
        <v>0.03</v>
      </c>
      <c r="E1956">
        <v>5.49</v>
      </c>
      <c r="F1956">
        <v>0</v>
      </c>
      <c r="G1956">
        <v>0</v>
      </c>
      <c r="H1956">
        <v>1830</v>
      </c>
      <c r="I1956">
        <v>88</v>
      </c>
    </row>
    <row r="1957" spans="1:9" x14ac:dyDescent="0.3">
      <c r="A1957" s="1">
        <v>46204</v>
      </c>
      <c r="B1957" t="s">
        <v>135</v>
      </c>
      <c r="C1957" t="s">
        <v>36</v>
      </c>
      <c r="D1957">
        <v>0.03</v>
      </c>
      <c r="E1957">
        <v>15.77</v>
      </c>
      <c r="F1957">
        <v>0</v>
      </c>
      <c r="G1957">
        <v>0</v>
      </c>
      <c r="H1957">
        <v>5257</v>
      </c>
      <c r="I1957">
        <v>88</v>
      </c>
    </row>
    <row r="1958" spans="1:9" x14ac:dyDescent="0.3">
      <c r="A1958" s="1">
        <v>46204</v>
      </c>
      <c r="B1958" t="s">
        <v>136</v>
      </c>
      <c r="C1958" t="s">
        <v>36</v>
      </c>
      <c r="D1958">
        <v>0.02</v>
      </c>
      <c r="E1958">
        <v>3.23</v>
      </c>
      <c r="F1958">
        <v>0</v>
      </c>
      <c r="G1958">
        <v>0</v>
      </c>
      <c r="H1958">
        <v>1615</v>
      </c>
      <c r="I1958">
        <v>92</v>
      </c>
    </row>
    <row r="1959" spans="1:9" x14ac:dyDescent="0.3">
      <c r="A1959" s="1">
        <v>46204</v>
      </c>
      <c r="B1959" t="s">
        <v>137</v>
      </c>
      <c r="C1959" t="s">
        <v>36</v>
      </c>
      <c r="D1959">
        <v>0.02</v>
      </c>
      <c r="E1959">
        <v>3.26</v>
      </c>
      <c r="F1959">
        <v>0</v>
      </c>
      <c r="G1959">
        <v>0</v>
      </c>
      <c r="H1959">
        <v>1630</v>
      </c>
      <c r="I1959">
        <v>92</v>
      </c>
    </row>
    <row r="1960" spans="1:9" x14ac:dyDescent="0.3">
      <c r="A1960" s="1">
        <v>46204</v>
      </c>
      <c r="B1960" t="s">
        <v>138</v>
      </c>
      <c r="C1960" t="s">
        <v>36</v>
      </c>
      <c r="D1960">
        <v>0.02</v>
      </c>
      <c r="E1960">
        <v>3.12</v>
      </c>
      <c r="F1960">
        <v>0</v>
      </c>
      <c r="G1960">
        <v>0</v>
      </c>
      <c r="H1960">
        <v>1560</v>
      </c>
      <c r="I1960">
        <v>92</v>
      </c>
    </row>
    <row r="1961" spans="1:9" x14ac:dyDescent="0.3">
      <c r="A1961" s="1">
        <v>46204</v>
      </c>
      <c r="B1961" t="s">
        <v>139</v>
      </c>
      <c r="C1961" t="s">
        <v>36</v>
      </c>
      <c r="D1961">
        <v>0.02</v>
      </c>
      <c r="E1961">
        <v>7.24</v>
      </c>
      <c r="F1961">
        <v>0</v>
      </c>
      <c r="G1961">
        <v>0</v>
      </c>
      <c r="H1961">
        <v>3620</v>
      </c>
      <c r="I1961">
        <v>92</v>
      </c>
    </row>
    <row r="1962" spans="1:9" x14ac:dyDescent="0.3">
      <c r="A1962" s="1">
        <v>46235</v>
      </c>
      <c r="B1962" t="s">
        <v>32</v>
      </c>
      <c r="C1962" t="s">
        <v>32</v>
      </c>
      <c r="D1962">
        <v>11185.1</v>
      </c>
      <c r="E1962">
        <v>1426253.67</v>
      </c>
      <c r="F1962">
        <v>45.64</v>
      </c>
      <c r="G1962">
        <v>47.82</v>
      </c>
      <c r="H1962">
        <v>1275</v>
      </c>
      <c r="I1962">
        <v>1</v>
      </c>
    </row>
    <row r="1963" spans="1:9" x14ac:dyDescent="0.3">
      <c r="A1963" s="1">
        <v>46235</v>
      </c>
      <c r="B1963" t="s">
        <v>33</v>
      </c>
      <c r="C1963" t="s">
        <v>33</v>
      </c>
      <c r="D1963">
        <v>7907.38</v>
      </c>
      <c r="E1963">
        <v>1007463.72</v>
      </c>
      <c r="F1963">
        <v>32.26</v>
      </c>
      <c r="G1963">
        <v>33.78</v>
      </c>
      <c r="H1963">
        <v>1274</v>
      </c>
      <c r="I1963">
        <v>2</v>
      </c>
    </row>
    <row r="1964" spans="1:9" x14ac:dyDescent="0.3">
      <c r="A1964" s="1">
        <v>46235</v>
      </c>
      <c r="B1964" t="s">
        <v>34</v>
      </c>
      <c r="C1964" t="s">
        <v>34</v>
      </c>
      <c r="D1964">
        <v>1967.9</v>
      </c>
      <c r="E1964">
        <v>204761.41</v>
      </c>
      <c r="F1964">
        <v>8.0299999999999994</v>
      </c>
      <c r="G1964">
        <v>6.87</v>
      </c>
      <c r="H1964">
        <v>1041</v>
      </c>
      <c r="I1964">
        <v>3</v>
      </c>
    </row>
    <row r="1965" spans="1:9" x14ac:dyDescent="0.3">
      <c r="A1965" s="1">
        <v>46235</v>
      </c>
      <c r="B1965" t="s">
        <v>37</v>
      </c>
      <c r="C1965" t="s">
        <v>36</v>
      </c>
      <c r="D1965">
        <v>1078.8800000000001</v>
      </c>
      <c r="E1965">
        <v>52512.85</v>
      </c>
      <c r="F1965">
        <v>4.4000000000000004</v>
      </c>
      <c r="G1965">
        <v>1.76</v>
      </c>
      <c r="H1965">
        <v>487</v>
      </c>
      <c r="I1965">
        <v>4</v>
      </c>
    </row>
    <row r="1966" spans="1:9" x14ac:dyDescent="0.3">
      <c r="A1966" s="1">
        <v>46235</v>
      </c>
      <c r="B1966" t="s">
        <v>47</v>
      </c>
      <c r="C1966" t="s">
        <v>36</v>
      </c>
      <c r="D1966">
        <v>421.87</v>
      </c>
      <c r="E1966">
        <v>20363.259999999998</v>
      </c>
      <c r="F1966">
        <v>1.72</v>
      </c>
      <c r="G1966">
        <v>0.68</v>
      </c>
      <c r="H1966">
        <v>483</v>
      </c>
      <c r="I1966">
        <v>5</v>
      </c>
    </row>
    <row r="1967" spans="1:9" x14ac:dyDescent="0.3">
      <c r="A1967" s="1">
        <v>46235</v>
      </c>
      <c r="B1967" t="s">
        <v>46</v>
      </c>
      <c r="C1967" t="s">
        <v>36</v>
      </c>
      <c r="D1967">
        <v>253.69</v>
      </c>
      <c r="E1967">
        <v>28778.19</v>
      </c>
      <c r="F1967">
        <v>1.04</v>
      </c>
      <c r="G1967">
        <v>0.96</v>
      </c>
      <c r="H1967">
        <v>1134</v>
      </c>
      <c r="I1967">
        <v>6</v>
      </c>
    </row>
    <row r="1968" spans="1:9" x14ac:dyDescent="0.3">
      <c r="A1968" s="1">
        <v>46235</v>
      </c>
      <c r="B1968" t="s">
        <v>40</v>
      </c>
      <c r="C1968" t="s">
        <v>36</v>
      </c>
      <c r="D1968">
        <v>223.31</v>
      </c>
      <c r="E1968">
        <v>3022.8</v>
      </c>
      <c r="F1968">
        <v>0.91</v>
      </c>
      <c r="G1968">
        <v>0.1</v>
      </c>
      <c r="H1968">
        <v>135</v>
      </c>
      <c r="I1968">
        <v>7</v>
      </c>
    </row>
    <row r="1969" spans="1:9" x14ac:dyDescent="0.3">
      <c r="A1969" s="1">
        <v>46235</v>
      </c>
      <c r="B1969" t="s">
        <v>42</v>
      </c>
      <c r="C1969" t="s">
        <v>36</v>
      </c>
      <c r="D1969">
        <v>183.69</v>
      </c>
      <c r="E1969">
        <v>13948.48</v>
      </c>
      <c r="F1969">
        <v>0.75</v>
      </c>
      <c r="G1969">
        <v>0.47</v>
      </c>
      <c r="H1969">
        <v>759</v>
      </c>
      <c r="I1969">
        <v>8</v>
      </c>
    </row>
    <row r="1970" spans="1:9" x14ac:dyDescent="0.3">
      <c r="A1970" s="1">
        <v>46235</v>
      </c>
      <c r="B1970" t="s">
        <v>38</v>
      </c>
      <c r="C1970" t="s">
        <v>36</v>
      </c>
      <c r="D1970">
        <v>146.78</v>
      </c>
      <c r="E1970">
        <v>14023.93</v>
      </c>
      <c r="F1970">
        <v>0.6</v>
      </c>
      <c r="G1970">
        <v>0.47</v>
      </c>
      <c r="H1970">
        <v>955</v>
      </c>
      <c r="I1970">
        <v>9</v>
      </c>
    </row>
    <row r="1971" spans="1:9" x14ac:dyDescent="0.3">
      <c r="A1971" s="1">
        <v>46235</v>
      </c>
      <c r="B1971" t="s">
        <v>35</v>
      </c>
      <c r="C1971" t="s">
        <v>36</v>
      </c>
      <c r="D1971">
        <v>143.94</v>
      </c>
      <c r="E1971">
        <v>57398.05</v>
      </c>
      <c r="F1971">
        <v>0.59</v>
      </c>
      <c r="G1971">
        <v>1.92</v>
      </c>
      <c r="H1971">
        <v>3988</v>
      </c>
      <c r="I1971">
        <v>10</v>
      </c>
    </row>
    <row r="1972" spans="1:9" x14ac:dyDescent="0.3">
      <c r="A1972" s="1">
        <v>46235</v>
      </c>
      <c r="B1972" t="s">
        <v>43</v>
      </c>
      <c r="C1972" t="s">
        <v>36</v>
      </c>
      <c r="D1972">
        <v>137.79</v>
      </c>
      <c r="E1972">
        <v>17139.080000000002</v>
      </c>
      <c r="F1972">
        <v>0.56000000000000005</v>
      </c>
      <c r="G1972">
        <v>0.56999999999999995</v>
      </c>
      <c r="H1972">
        <v>1244</v>
      </c>
      <c r="I1972">
        <v>11</v>
      </c>
    </row>
    <row r="1973" spans="1:9" x14ac:dyDescent="0.3">
      <c r="A1973" s="1">
        <v>46235</v>
      </c>
      <c r="B1973" t="s">
        <v>39</v>
      </c>
      <c r="C1973" t="s">
        <v>36</v>
      </c>
      <c r="D1973">
        <v>95.93</v>
      </c>
      <c r="E1973">
        <v>11037.13</v>
      </c>
      <c r="F1973">
        <v>0.39</v>
      </c>
      <c r="G1973">
        <v>0.37</v>
      </c>
      <c r="H1973">
        <v>1151</v>
      </c>
      <c r="I1973">
        <v>12</v>
      </c>
    </row>
    <row r="1974" spans="1:9" x14ac:dyDescent="0.3">
      <c r="A1974" s="1">
        <v>46235</v>
      </c>
      <c r="B1974" t="s">
        <v>53</v>
      </c>
      <c r="C1974" t="s">
        <v>36</v>
      </c>
      <c r="D1974">
        <v>78.55</v>
      </c>
      <c r="E1974">
        <v>6993.52</v>
      </c>
      <c r="F1974">
        <v>0.32</v>
      </c>
      <c r="G1974">
        <v>0.23</v>
      </c>
      <c r="H1974">
        <v>890</v>
      </c>
      <c r="I1974">
        <v>13</v>
      </c>
    </row>
    <row r="1975" spans="1:9" x14ac:dyDescent="0.3">
      <c r="A1975" s="1">
        <v>46235</v>
      </c>
      <c r="B1975" t="s">
        <v>44</v>
      </c>
      <c r="C1975" t="s">
        <v>36</v>
      </c>
      <c r="D1975">
        <v>71.989999999999995</v>
      </c>
      <c r="E1975">
        <v>17803.18</v>
      </c>
      <c r="F1975">
        <v>0.28999999999999998</v>
      </c>
      <c r="G1975">
        <v>0.6</v>
      </c>
      <c r="H1975">
        <v>2473</v>
      </c>
      <c r="I1975">
        <v>14</v>
      </c>
    </row>
    <row r="1976" spans="1:9" x14ac:dyDescent="0.3">
      <c r="A1976" s="1">
        <v>46235</v>
      </c>
      <c r="B1976" t="s">
        <v>49</v>
      </c>
      <c r="C1976" t="s">
        <v>36</v>
      </c>
      <c r="D1976">
        <v>68.61</v>
      </c>
      <c r="E1976">
        <v>8083.03</v>
      </c>
      <c r="F1976">
        <v>0.28000000000000003</v>
      </c>
      <c r="G1976">
        <v>0.27</v>
      </c>
      <c r="H1976">
        <v>1178</v>
      </c>
      <c r="I1976">
        <v>15</v>
      </c>
    </row>
    <row r="1977" spans="1:9" x14ac:dyDescent="0.3">
      <c r="A1977" s="1">
        <v>46235</v>
      </c>
      <c r="B1977" t="s">
        <v>41</v>
      </c>
      <c r="C1977" t="s">
        <v>36</v>
      </c>
      <c r="D1977">
        <v>63.6</v>
      </c>
      <c r="E1977">
        <v>22343.65</v>
      </c>
      <c r="F1977">
        <v>0.26</v>
      </c>
      <c r="G1977">
        <v>0.75</v>
      </c>
      <c r="H1977">
        <v>3513</v>
      </c>
      <c r="I1977">
        <v>16</v>
      </c>
    </row>
    <row r="1978" spans="1:9" x14ac:dyDescent="0.3">
      <c r="A1978" s="1">
        <v>46235</v>
      </c>
      <c r="B1978" t="s">
        <v>55</v>
      </c>
      <c r="C1978" t="s">
        <v>36</v>
      </c>
      <c r="D1978">
        <v>53.07</v>
      </c>
      <c r="E1978">
        <v>4719.34</v>
      </c>
      <c r="F1978">
        <v>0.22</v>
      </c>
      <c r="G1978">
        <v>0.16</v>
      </c>
      <c r="H1978">
        <v>889</v>
      </c>
      <c r="I1978">
        <v>17</v>
      </c>
    </row>
    <row r="1979" spans="1:9" x14ac:dyDescent="0.3">
      <c r="A1979" s="1">
        <v>46235</v>
      </c>
      <c r="B1979" t="s">
        <v>45</v>
      </c>
      <c r="C1979" t="s">
        <v>36</v>
      </c>
      <c r="D1979">
        <v>50.53</v>
      </c>
      <c r="E1979">
        <v>9003.4699999999993</v>
      </c>
      <c r="F1979">
        <v>0.21</v>
      </c>
      <c r="G1979">
        <v>0.3</v>
      </c>
      <c r="H1979">
        <v>1782</v>
      </c>
      <c r="I1979">
        <v>18</v>
      </c>
    </row>
    <row r="1980" spans="1:9" x14ac:dyDescent="0.3">
      <c r="A1980" s="1">
        <v>46235</v>
      </c>
      <c r="B1980" t="s">
        <v>54</v>
      </c>
      <c r="C1980" t="s">
        <v>36</v>
      </c>
      <c r="D1980">
        <v>29.57</v>
      </c>
      <c r="E1980">
        <v>7162.74</v>
      </c>
      <c r="F1980">
        <v>0.12</v>
      </c>
      <c r="G1980">
        <v>0.24</v>
      </c>
      <c r="H1980">
        <v>2422</v>
      </c>
      <c r="I1980">
        <v>19</v>
      </c>
    </row>
    <row r="1981" spans="1:9" x14ac:dyDescent="0.3">
      <c r="A1981" s="1">
        <v>46235</v>
      </c>
      <c r="B1981" t="s">
        <v>118</v>
      </c>
      <c r="C1981" t="s">
        <v>36</v>
      </c>
      <c r="D1981">
        <v>20.350000000000001</v>
      </c>
      <c r="E1981">
        <v>2483.4699999999998</v>
      </c>
      <c r="F1981">
        <v>0.08</v>
      </c>
      <c r="G1981">
        <v>0.08</v>
      </c>
      <c r="H1981">
        <v>1220</v>
      </c>
      <c r="I1981">
        <v>20</v>
      </c>
    </row>
    <row r="1982" spans="1:9" x14ac:dyDescent="0.3">
      <c r="A1982" s="1">
        <v>46235</v>
      </c>
      <c r="B1982" t="s">
        <v>57</v>
      </c>
      <c r="C1982" t="s">
        <v>36</v>
      </c>
      <c r="D1982">
        <v>18.79</v>
      </c>
      <c r="E1982">
        <v>1999.14</v>
      </c>
      <c r="F1982">
        <v>0.08</v>
      </c>
      <c r="G1982">
        <v>7.0000000000000007E-2</v>
      </c>
      <c r="H1982">
        <v>1064</v>
      </c>
      <c r="I1982">
        <v>21</v>
      </c>
    </row>
    <row r="1983" spans="1:9" x14ac:dyDescent="0.3">
      <c r="A1983" s="1">
        <v>46235</v>
      </c>
      <c r="B1983" t="s">
        <v>122</v>
      </c>
      <c r="C1983" t="s">
        <v>36</v>
      </c>
      <c r="D1983">
        <v>17.239999999999998</v>
      </c>
      <c r="E1983">
        <v>384.97</v>
      </c>
      <c r="F1983">
        <v>7.0000000000000007E-2</v>
      </c>
      <c r="G1983">
        <v>0.01</v>
      </c>
      <c r="H1983">
        <v>223</v>
      </c>
      <c r="I1983">
        <v>22</v>
      </c>
    </row>
    <row r="1984" spans="1:9" x14ac:dyDescent="0.3">
      <c r="A1984" s="1">
        <v>46235</v>
      </c>
      <c r="B1984" t="s">
        <v>52</v>
      </c>
      <c r="C1984" t="s">
        <v>36</v>
      </c>
      <c r="D1984">
        <v>16.52</v>
      </c>
      <c r="E1984">
        <v>3806.13</v>
      </c>
      <c r="F1984">
        <v>7.0000000000000007E-2</v>
      </c>
      <c r="G1984">
        <v>0.13</v>
      </c>
      <c r="H1984">
        <v>2304</v>
      </c>
      <c r="I1984">
        <v>23</v>
      </c>
    </row>
    <row r="1985" spans="1:9" x14ac:dyDescent="0.3">
      <c r="A1985" s="1">
        <v>46235</v>
      </c>
      <c r="B1985" t="s">
        <v>65</v>
      </c>
      <c r="C1985" t="s">
        <v>36</v>
      </c>
      <c r="D1985">
        <v>15.26</v>
      </c>
      <c r="E1985">
        <v>1252.78</v>
      </c>
      <c r="F1985">
        <v>0.06</v>
      </c>
      <c r="G1985">
        <v>0.04</v>
      </c>
      <c r="H1985">
        <v>821</v>
      </c>
      <c r="I1985">
        <v>24</v>
      </c>
    </row>
    <row r="1986" spans="1:9" x14ac:dyDescent="0.3">
      <c r="A1986" s="1">
        <v>46235</v>
      </c>
      <c r="B1986" t="s">
        <v>50</v>
      </c>
      <c r="C1986" t="s">
        <v>36</v>
      </c>
      <c r="D1986">
        <v>14.86</v>
      </c>
      <c r="E1986">
        <v>11757.57</v>
      </c>
      <c r="F1986">
        <v>0.06</v>
      </c>
      <c r="G1986">
        <v>0.39</v>
      </c>
      <c r="H1986">
        <v>7912</v>
      </c>
      <c r="I1986">
        <v>25</v>
      </c>
    </row>
    <row r="1987" spans="1:9" x14ac:dyDescent="0.3">
      <c r="A1987" s="1">
        <v>46235</v>
      </c>
      <c r="B1987" t="s">
        <v>48</v>
      </c>
      <c r="C1987" t="s">
        <v>36</v>
      </c>
      <c r="D1987">
        <v>14.66</v>
      </c>
      <c r="E1987">
        <v>1262.8800000000001</v>
      </c>
      <c r="F1987">
        <v>0.06</v>
      </c>
      <c r="G1987">
        <v>0.04</v>
      </c>
      <c r="H1987">
        <v>861</v>
      </c>
      <c r="I1987">
        <v>26</v>
      </c>
    </row>
    <row r="1988" spans="1:9" x14ac:dyDescent="0.3">
      <c r="A1988" s="1">
        <v>46235</v>
      </c>
      <c r="B1988" t="s">
        <v>56</v>
      </c>
      <c r="C1988" t="s">
        <v>36</v>
      </c>
      <c r="D1988">
        <v>10.58</v>
      </c>
      <c r="E1988">
        <v>730.93</v>
      </c>
      <c r="F1988">
        <v>0.04</v>
      </c>
      <c r="G1988">
        <v>0.02</v>
      </c>
      <c r="H1988">
        <v>691</v>
      </c>
      <c r="I1988">
        <v>27</v>
      </c>
    </row>
    <row r="1989" spans="1:9" x14ac:dyDescent="0.3">
      <c r="A1989" s="1">
        <v>46235</v>
      </c>
      <c r="B1989" t="s">
        <v>58</v>
      </c>
      <c r="C1989" t="s">
        <v>36</v>
      </c>
      <c r="D1989">
        <v>10.199999999999999</v>
      </c>
      <c r="E1989">
        <v>3161.72</v>
      </c>
      <c r="F1989">
        <v>0.04</v>
      </c>
      <c r="G1989">
        <v>0.11</v>
      </c>
      <c r="H1989">
        <v>3100</v>
      </c>
      <c r="I1989">
        <v>28</v>
      </c>
    </row>
    <row r="1990" spans="1:9" x14ac:dyDescent="0.3">
      <c r="A1990" s="1">
        <v>46235</v>
      </c>
      <c r="B1990" t="s">
        <v>112</v>
      </c>
      <c r="C1990" t="s">
        <v>36</v>
      </c>
      <c r="D1990">
        <v>5.91</v>
      </c>
      <c r="E1990">
        <v>465.65</v>
      </c>
      <c r="F1990">
        <v>0.02</v>
      </c>
      <c r="G1990">
        <v>0.02</v>
      </c>
      <c r="H1990">
        <v>788</v>
      </c>
      <c r="I1990">
        <v>29</v>
      </c>
    </row>
    <row r="1991" spans="1:9" x14ac:dyDescent="0.3">
      <c r="A1991" s="1">
        <v>46235</v>
      </c>
      <c r="B1991" t="s">
        <v>62</v>
      </c>
      <c r="C1991" t="s">
        <v>36</v>
      </c>
      <c r="D1991">
        <v>5.53</v>
      </c>
      <c r="E1991">
        <v>355.84</v>
      </c>
      <c r="F1991">
        <v>0.02</v>
      </c>
      <c r="G1991">
        <v>0.01</v>
      </c>
      <c r="H1991">
        <v>643</v>
      </c>
      <c r="I1991">
        <v>30</v>
      </c>
    </row>
    <row r="1992" spans="1:9" x14ac:dyDescent="0.3">
      <c r="A1992" s="1">
        <v>46235</v>
      </c>
      <c r="B1992" t="s">
        <v>59</v>
      </c>
      <c r="C1992" t="s">
        <v>36</v>
      </c>
      <c r="D1992">
        <v>5.0999999999999996</v>
      </c>
      <c r="E1992">
        <v>834.52</v>
      </c>
      <c r="F1992">
        <v>0.02</v>
      </c>
      <c r="G1992">
        <v>0.03</v>
      </c>
      <c r="H1992">
        <v>1636</v>
      </c>
      <c r="I1992">
        <v>31</v>
      </c>
    </row>
    <row r="1993" spans="1:9" x14ac:dyDescent="0.3">
      <c r="A1993" s="1">
        <v>46235</v>
      </c>
      <c r="B1993" t="s">
        <v>60</v>
      </c>
      <c r="C1993" t="s">
        <v>36</v>
      </c>
      <c r="D1993">
        <v>4.99</v>
      </c>
      <c r="E1993">
        <v>1062.3800000000001</v>
      </c>
      <c r="F1993">
        <v>0.02</v>
      </c>
      <c r="G1993">
        <v>0.04</v>
      </c>
      <c r="H1993">
        <v>2129</v>
      </c>
      <c r="I1993">
        <v>32</v>
      </c>
    </row>
    <row r="1994" spans="1:9" x14ac:dyDescent="0.3">
      <c r="A1994" s="1">
        <v>46235</v>
      </c>
      <c r="B1994" t="s">
        <v>71</v>
      </c>
      <c r="C1994" t="s">
        <v>36</v>
      </c>
      <c r="D1994">
        <v>4.58</v>
      </c>
      <c r="E1994">
        <v>624.28</v>
      </c>
      <c r="F1994">
        <v>0.02</v>
      </c>
      <c r="G1994">
        <v>0.02</v>
      </c>
      <c r="H1994">
        <v>1363</v>
      </c>
      <c r="I1994">
        <v>33</v>
      </c>
    </row>
    <row r="1995" spans="1:9" x14ac:dyDescent="0.3">
      <c r="A1995" s="1">
        <v>46235</v>
      </c>
      <c r="B1995" t="s">
        <v>61</v>
      </c>
      <c r="C1995" t="s">
        <v>36</v>
      </c>
      <c r="D1995">
        <v>4.3099999999999996</v>
      </c>
      <c r="E1995">
        <v>1195.31</v>
      </c>
      <c r="F1995">
        <v>0.02</v>
      </c>
      <c r="G1995">
        <v>0.04</v>
      </c>
      <c r="H1995">
        <v>2773</v>
      </c>
      <c r="I1995">
        <v>34</v>
      </c>
    </row>
    <row r="1996" spans="1:9" x14ac:dyDescent="0.3">
      <c r="A1996" s="1">
        <v>46235</v>
      </c>
      <c r="B1996" t="s">
        <v>51</v>
      </c>
      <c r="C1996" t="s">
        <v>36</v>
      </c>
      <c r="D1996">
        <v>3.6</v>
      </c>
      <c r="E1996">
        <v>145.41</v>
      </c>
      <c r="F1996">
        <v>0.01</v>
      </c>
      <c r="G1996">
        <v>0</v>
      </c>
      <c r="H1996">
        <v>404</v>
      </c>
      <c r="I1996">
        <v>35</v>
      </c>
    </row>
    <row r="1997" spans="1:9" x14ac:dyDescent="0.3">
      <c r="A1997" s="1">
        <v>46235</v>
      </c>
      <c r="B1997" t="s">
        <v>67</v>
      </c>
      <c r="C1997" t="s">
        <v>36</v>
      </c>
      <c r="D1997">
        <v>3.3</v>
      </c>
      <c r="E1997">
        <v>2653.88</v>
      </c>
      <c r="F1997">
        <v>0.01</v>
      </c>
      <c r="G1997">
        <v>0.09</v>
      </c>
      <c r="H1997">
        <v>8042</v>
      </c>
      <c r="I1997">
        <v>36</v>
      </c>
    </row>
    <row r="1998" spans="1:9" x14ac:dyDescent="0.3">
      <c r="A1998" s="1">
        <v>46235</v>
      </c>
      <c r="B1998" t="s">
        <v>98</v>
      </c>
      <c r="C1998" t="s">
        <v>36</v>
      </c>
      <c r="D1998">
        <v>3.13</v>
      </c>
      <c r="E1998">
        <v>318.23</v>
      </c>
      <c r="F1998">
        <v>0.01</v>
      </c>
      <c r="G1998">
        <v>0.01</v>
      </c>
      <c r="H1998">
        <v>1017</v>
      </c>
      <c r="I1998">
        <v>37</v>
      </c>
    </row>
    <row r="1999" spans="1:9" x14ac:dyDescent="0.3">
      <c r="A1999" s="1">
        <v>46235</v>
      </c>
      <c r="B1999" t="s">
        <v>115</v>
      </c>
      <c r="C1999" t="s">
        <v>36</v>
      </c>
      <c r="D1999">
        <v>3.12</v>
      </c>
      <c r="E1999">
        <v>1112.6199999999999</v>
      </c>
      <c r="F1999">
        <v>0.01</v>
      </c>
      <c r="G1999">
        <v>0.04</v>
      </c>
      <c r="H1999">
        <v>3566</v>
      </c>
      <c r="I1999">
        <v>38</v>
      </c>
    </row>
    <row r="2000" spans="1:9" x14ac:dyDescent="0.3">
      <c r="A2000" s="1">
        <v>46235</v>
      </c>
      <c r="B2000" t="s">
        <v>82</v>
      </c>
      <c r="C2000" t="s">
        <v>36</v>
      </c>
      <c r="D2000">
        <v>2.84</v>
      </c>
      <c r="E2000">
        <v>603.39</v>
      </c>
      <c r="F2000">
        <v>0.01</v>
      </c>
      <c r="G2000">
        <v>0.02</v>
      </c>
      <c r="H2000">
        <v>2125</v>
      </c>
      <c r="I2000">
        <v>39</v>
      </c>
    </row>
    <row r="2001" spans="1:9" x14ac:dyDescent="0.3">
      <c r="A2001" s="1">
        <v>46235</v>
      </c>
      <c r="B2001" t="s">
        <v>63</v>
      </c>
      <c r="C2001" t="s">
        <v>36</v>
      </c>
      <c r="D2001">
        <v>2.4500000000000002</v>
      </c>
      <c r="E2001">
        <v>626.83000000000004</v>
      </c>
      <c r="F2001">
        <v>0.01</v>
      </c>
      <c r="G2001">
        <v>0.02</v>
      </c>
      <c r="H2001">
        <v>2558</v>
      </c>
      <c r="I2001">
        <v>40</v>
      </c>
    </row>
    <row r="2002" spans="1:9" x14ac:dyDescent="0.3">
      <c r="A2002" s="1">
        <v>46235</v>
      </c>
      <c r="B2002" t="s">
        <v>80</v>
      </c>
      <c r="C2002" t="s">
        <v>36</v>
      </c>
      <c r="D2002">
        <v>2.12</v>
      </c>
      <c r="E2002">
        <v>219.23</v>
      </c>
      <c r="F2002">
        <v>0.01</v>
      </c>
      <c r="G2002">
        <v>0.01</v>
      </c>
      <c r="H2002">
        <v>1034</v>
      </c>
      <c r="I2002">
        <v>41</v>
      </c>
    </row>
    <row r="2003" spans="1:9" x14ac:dyDescent="0.3">
      <c r="A2003" s="1">
        <v>46235</v>
      </c>
      <c r="B2003" t="s">
        <v>69</v>
      </c>
      <c r="C2003" t="s">
        <v>36</v>
      </c>
      <c r="D2003">
        <v>2.0299999999999998</v>
      </c>
      <c r="E2003">
        <v>545.58000000000004</v>
      </c>
      <c r="F2003">
        <v>0.01</v>
      </c>
      <c r="G2003">
        <v>0.02</v>
      </c>
      <c r="H2003">
        <v>2688</v>
      </c>
      <c r="I2003">
        <v>42</v>
      </c>
    </row>
    <row r="2004" spans="1:9" x14ac:dyDescent="0.3">
      <c r="A2004" s="1">
        <v>46235</v>
      </c>
      <c r="B2004" t="s">
        <v>64</v>
      </c>
      <c r="C2004" t="s">
        <v>36</v>
      </c>
      <c r="D2004">
        <v>2.0099999999999998</v>
      </c>
      <c r="E2004">
        <v>525.84</v>
      </c>
      <c r="F2004">
        <v>0.01</v>
      </c>
      <c r="G2004">
        <v>0.02</v>
      </c>
      <c r="H2004">
        <v>2616</v>
      </c>
      <c r="I2004">
        <v>43</v>
      </c>
    </row>
    <row r="2005" spans="1:9" x14ac:dyDescent="0.3">
      <c r="A2005" s="1">
        <v>46235</v>
      </c>
      <c r="B2005" t="s">
        <v>68</v>
      </c>
      <c r="C2005" t="s">
        <v>36</v>
      </c>
      <c r="D2005">
        <v>1.87</v>
      </c>
      <c r="E2005">
        <v>104.04</v>
      </c>
      <c r="F2005">
        <v>0.01</v>
      </c>
      <c r="G2005">
        <v>0</v>
      </c>
      <c r="H2005">
        <v>556</v>
      </c>
      <c r="I2005">
        <v>44</v>
      </c>
    </row>
    <row r="2006" spans="1:9" x14ac:dyDescent="0.3">
      <c r="A2006" s="1">
        <v>46235</v>
      </c>
      <c r="B2006" t="s">
        <v>79</v>
      </c>
      <c r="C2006" t="s">
        <v>36</v>
      </c>
      <c r="D2006">
        <v>1.82</v>
      </c>
      <c r="E2006">
        <v>585.73</v>
      </c>
      <c r="F2006">
        <v>0.01</v>
      </c>
      <c r="G2006">
        <v>0.02</v>
      </c>
      <c r="H2006">
        <v>3218</v>
      </c>
      <c r="I2006">
        <v>45</v>
      </c>
    </row>
    <row r="2007" spans="1:9" x14ac:dyDescent="0.3">
      <c r="A2007" s="1">
        <v>46235</v>
      </c>
      <c r="B2007" t="s">
        <v>66</v>
      </c>
      <c r="C2007" t="s">
        <v>36</v>
      </c>
      <c r="D2007">
        <v>1.31</v>
      </c>
      <c r="E2007">
        <v>24.03</v>
      </c>
      <c r="F2007">
        <v>0.01</v>
      </c>
      <c r="G2007">
        <v>0</v>
      </c>
      <c r="H2007">
        <v>183</v>
      </c>
      <c r="I2007">
        <v>46</v>
      </c>
    </row>
    <row r="2008" spans="1:9" x14ac:dyDescent="0.3">
      <c r="A2008" s="1">
        <v>46235</v>
      </c>
      <c r="B2008" t="s">
        <v>76</v>
      </c>
      <c r="C2008" t="s">
        <v>36</v>
      </c>
      <c r="D2008">
        <v>1.27</v>
      </c>
      <c r="E2008">
        <v>209.12</v>
      </c>
      <c r="F2008">
        <v>0.01</v>
      </c>
      <c r="G2008">
        <v>0.01</v>
      </c>
      <c r="H2008">
        <v>1647</v>
      </c>
      <c r="I2008">
        <v>47</v>
      </c>
    </row>
    <row r="2009" spans="1:9" x14ac:dyDescent="0.3">
      <c r="A2009" s="1">
        <v>46235</v>
      </c>
      <c r="B2009" t="s">
        <v>72</v>
      </c>
      <c r="C2009" t="s">
        <v>36</v>
      </c>
      <c r="D2009">
        <v>1.25</v>
      </c>
      <c r="E2009">
        <v>16.05</v>
      </c>
      <c r="F2009">
        <v>0.01</v>
      </c>
      <c r="G2009">
        <v>0</v>
      </c>
      <c r="H2009">
        <v>128</v>
      </c>
      <c r="I2009">
        <v>48</v>
      </c>
    </row>
    <row r="2010" spans="1:9" x14ac:dyDescent="0.3">
      <c r="A2010" s="1">
        <v>46235</v>
      </c>
      <c r="B2010" t="s">
        <v>78</v>
      </c>
      <c r="C2010" t="s">
        <v>36</v>
      </c>
      <c r="D2010">
        <v>1.24</v>
      </c>
      <c r="E2010">
        <v>365.84</v>
      </c>
      <c r="F2010">
        <v>0.01</v>
      </c>
      <c r="G2010">
        <v>0.01</v>
      </c>
      <c r="H2010">
        <v>2950</v>
      </c>
      <c r="I2010">
        <v>49</v>
      </c>
    </row>
    <row r="2011" spans="1:9" x14ac:dyDescent="0.3">
      <c r="A2011" s="1">
        <v>46235</v>
      </c>
      <c r="B2011" t="s">
        <v>73</v>
      </c>
      <c r="C2011" t="s">
        <v>36</v>
      </c>
      <c r="D2011">
        <v>1.1100000000000001</v>
      </c>
      <c r="E2011">
        <v>357.83</v>
      </c>
      <c r="F2011">
        <v>0</v>
      </c>
      <c r="G2011">
        <v>0.01</v>
      </c>
      <c r="H2011">
        <v>3224</v>
      </c>
      <c r="I2011">
        <v>50</v>
      </c>
    </row>
    <row r="2012" spans="1:9" x14ac:dyDescent="0.3">
      <c r="A2012" s="1">
        <v>46235</v>
      </c>
      <c r="B2012" t="s">
        <v>74</v>
      </c>
      <c r="C2012" t="s">
        <v>36</v>
      </c>
      <c r="D2012">
        <v>1.1100000000000001</v>
      </c>
      <c r="E2012">
        <v>332.96</v>
      </c>
      <c r="F2012">
        <v>0</v>
      </c>
      <c r="G2012">
        <v>0.01</v>
      </c>
      <c r="H2012">
        <v>3000</v>
      </c>
      <c r="I2012">
        <v>50</v>
      </c>
    </row>
    <row r="2013" spans="1:9" x14ac:dyDescent="0.3">
      <c r="A2013" s="1">
        <v>46235</v>
      </c>
      <c r="B2013" t="s">
        <v>81</v>
      </c>
      <c r="C2013" t="s">
        <v>36</v>
      </c>
      <c r="D2013">
        <v>1.04</v>
      </c>
      <c r="E2013">
        <v>64.260000000000005</v>
      </c>
      <c r="F2013">
        <v>0</v>
      </c>
      <c r="G2013">
        <v>0</v>
      </c>
      <c r="H2013">
        <v>618</v>
      </c>
      <c r="I2013">
        <v>52</v>
      </c>
    </row>
    <row r="2014" spans="1:9" x14ac:dyDescent="0.3">
      <c r="A2014" s="1">
        <v>46235</v>
      </c>
      <c r="B2014" t="s">
        <v>87</v>
      </c>
      <c r="C2014" t="s">
        <v>36</v>
      </c>
      <c r="D2014">
        <v>0.99</v>
      </c>
      <c r="E2014">
        <v>133.74</v>
      </c>
      <c r="F2014">
        <v>0</v>
      </c>
      <c r="G2014">
        <v>0</v>
      </c>
      <c r="H2014">
        <v>1351</v>
      </c>
      <c r="I2014">
        <v>53</v>
      </c>
    </row>
    <row r="2015" spans="1:9" x14ac:dyDescent="0.3">
      <c r="A2015" s="1">
        <v>46235</v>
      </c>
      <c r="B2015" t="s">
        <v>102</v>
      </c>
      <c r="C2015" t="s">
        <v>36</v>
      </c>
      <c r="D2015">
        <v>0.83</v>
      </c>
      <c r="E2015">
        <v>107.33</v>
      </c>
      <c r="F2015">
        <v>0</v>
      </c>
      <c r="G2015">
        <v>0</v>
      </c>
      <c r="H2015">
        <v>1293</v>
      </c>
      <c r="I2015">
        <v>54</v>
      </c>
    </row>
    <row r="2016" spans="1:9" x14ac:dyDescent="0.3">
      <c r="A2016" s="1">
        <v>46235</v>
      </c>
      <c r="B2016" t="s">
        <v>97</v>
      </c>
      <c r="C2016" t="s">
        <v>36</v>
      </c>
      <c r="D2016">
        <v>0.73</v>
      </c>
      <c r="E2016">
        <v>39.71</v>
      </c>
      <c r="F2016">
        <v>0</v>
      </c>
      <c r="G2016">
        <v>0</v>
      </c>
      <c r="H2016">
        <v>544</v>
      </c>
      <c r="I2016">
        <v>55</v>
      </c>
    </row>
    <row r="2017" spans="1:9" x14ac:dyDescent="0.3">
      <c r="A2017" s="1">
        <v>46235</v>
      </c>
      <c r="B2017" t="s">
        <v>84</v>
      </c>
      <c r="C2017" t="s">
        <v>36</v>
      </c>
      <c r="D2017">
        <v>0.72</v>
      </c>
      <c r="E2017">
        <v>187.53</v>
      </c>
      <c r="F2017">
        <v>0</v>
      </c>
      <c r="G2017">
        <v>0.01</v>
      </c>
      <c r="H2017">
        <v>2605</v>
      </c>
      <c r="I2017">
        <v>56</v>
      </c>
    </row>
    <row r="2018" spans="1:9" x14ac:dyDescent="0.3">
      <c r="A2018" s="1">
        <v>46235</v>
      </c>
      <c r="B2018" t="s">
        <v>114</v>
      </c>
      <c r="C2018" t="s">
        <v>36</v>
      </c>
      <c r="D2018">
        <v>0.63</v>
      </c>
      <c r="E2018">
        <v>57.75</v>
      </c>
      <c r="F2018">
        <v>0</v>
      </c>
      <c r="G2018">
        <v>0</v>
      </c>
      <c r="H2018">
        <v>917</v>
      </c>
      <c r="I2018">
        <v>57</v>
      </c>
    </row>
    <row r="2019" spans="1:9" x14ac:dyDescent="0.3">
      <c r="A2019" s="1">
        <v>46235</v>
      </c>
      <c r="B2019" t="s">
        <v>77</v>
      </c>
      <c r="C2019" t="s">
        <v>36</v>
      </c>
      <c r="D2019">
        <v>0.59</v>
      </c>
      <c r="E2019">
        <v>56.73</v>
      </c>
      <c r="F2019">
        <v>0</v>
      </c>
      <c r="G2019">
        <v>0</v>
      </c>
      <c r="H2019">
        <v>962</v>
      </c>
      <c r="I2019">
        <v>58</v>
      </c>
    </row>
    <row r="2020" spans="1:9" x14ac:dyDescent="0.3">
      <c r="A2020" s="1">
        <v>46235</v>
      </c>
      <c r="B2020" t="s">
        <v>100</v>
      </c>
      <c r="C2020" t="s">
        <v>36</v>
      </c>
      <c r="D2020">
        <v>0.59</v>
      </c>
      <c r="E2020">
        <v>545.4</v>
      </c>
      <c r="F2020">
        <v>0</v>
      </c>
      <c r="G2020">
        <v>0.02</v>
      </c>
      <c r="H2020">
        <v>9244</v>
      </c>
      <c r="I2020">
        <v>58</v>
      </c>
    </row>
    <row r="2021" spans="1:9" x14ac:dyDescent="0.3">
      <c r="A2021" s="1">
        <v>46235</v>
      </c>
      <c r="B2021" t="s">
        <v>121</v>
      </c>
      <c r="C2021" t="s">
        <v>36</v>
      </c>
      <c r="D2021">
        <v>0.57999999999999996</v>
      </c>
      <c r="E2021">
        <v>11.57</v>
      </c>
      <c r="F2021">
        <v>0</v>
      </c>
      <c r="G2021">
        <v>0</v>
      </c>
      <c r="H2021">
        <v>199</v>
      </c>
      <c r="I2021">
        <v>60</v>
      </c>
    </row>
    <row r="2022" spans="1:9" x14ac:dyDescent="0.3">
      <c r="A2022" s="1">
        <v>46235</v>
      </c>
      <c r="B2022" t="s">
        <v>70</v>
      </c>
      <c r="C2022" t="s">
        <v>36</v>
      </c>
      <c r="D2022">
        <v>0.56000000000000005</v>
      </c>
      <c r="E2022">
        <v>152.26</v>
      </c>
      <c r="F2022">
        <v>0</v>
      </c>
      <c r="G2022">
        <v>0.01</v>
      </c>
      <c r="H2022">
        <v>2719</v>
      </c>
      <c r="I2022">
        <v>61</v>
      </c>
    </row>
    <row r="2023" spans="1:9" x14ac:dyDescent="0.3">
      <c r="A2023" s="1">
        <v>46235</v>
      </c>
      <c r="B2023" t="s">
        <v>75</v>
      </c>
      <c r="C2023" t="s">
        <v>36</v>
      </c>
      <c r="D2023">
        <v>0.53</v>
      </c>
      <c r="E2023">
        <v>182.03</v>
      </c>
      <c r="F2023">
        <v>0</v>
      </c>
      <c r="G2023">
        <v>0.01</v>
      </c>
      <c r="H2023">
        <v>3435</v>
      </c>
      <c r="I2023">
        <v>62</v>
      </c>
    </row>
    <row r="2024" spans="1:9" x14ac:dyDescent="0.3">
      <c r="A2024" s="1">
        <v>46235</v>
      </c>
      <c r="B2024" t="s">
        <v>113</v>
      </c>
      <c r="C2024" t="s">
        <v>36</v>
      </c>
      <c r="D2024">
        <v>0.45</v>
      </c>
      <c r="E2024">
        <v>35.619999999999997</v>
      </c>
      <c r="F2024">
        <v>0</v>
      </c>
      <c r="G2024">
        <v>0</v>
      </c>
      <c r="H2024">
        <v>792</v>
      </c>
      <c r="I2024">
        <v>63</v>
      </c>
    </row>
    <row r="2025" spans="1:9" x14ac:dyDescent="0.3">
      <c r="A2025" s="1">
        <v>46235</v>
      </c>
      <c r="B2025" t="s">
        <v>85</v>
      </c>
      <c r="C2025" t="s">
        <v>36</v>
      </c>
      <c r="D2025">
        <v>0.43</v>
      </c>
      <c r="E2025">
        <v>99.51</v>
      </c>
      <c r="F2025">
        <v>0</v>
      </c>
      <c r="G2025">
        <v>0</v>
      </c>
      <c r="H2025">
        <v>2314</v>
      </c>
      <c r="I2025">
        <v>64</v>
      </c>
    </row>
    <row r="2026" spans="1:9" x14ac:dyDescent="0.3">
      <c r="A2026" s="1">
        <v>46235</v>
      </c>
      <c r="B2026" t="s">
        <v>117</v>
      </c>
      <c r="C2026" t="s">
        <v>36</v>
      </c>
      <c r="D2026">
        <v>0.43</v>
      </c>
      <c r="E2026">
        <v>66.69</v>
      </c>
      <c r="F2026">
        <v>0</v>
      </c>
      <c r="G2026">
        <v>0</v>
      </c>
      <c r="H2026">
        <v>1551</v>
      </c>
      <c r="I2026">
        <v>64</v>
      </c>
    </row>
    <row r="2027" spans="1:9" x14ac:dyDescent="0.3">
      <c r="A2027" s="1">
        <v>46235</v>
      </c>
      <c r="B2027" t="s">
        <v>130</v>
      </c>
      <c r="C2027" t="s">
        <v>36</v>
      </c>
      <c r="D2027">
        <v>0.4</v>
      </c>
      <c r="E2027">
        <v>206.26</v>
      </c>
      <c r="F2027">
        <v>0</v>
      </c>
      <c r="G2027">
        <v>0.01</v>
      </c>
      <c r="H2027">
        <v>5157</v>
      </c>
      <c r="I2027">
        <v>66</v>
      </c>
    </row>
    <row r="2028" spans="1:9" x14ac:dyDescent="0.3">
      <c r="A2028" s="1">
        <v>46235</v>
      </c>
      <c r="B2028" t="s">
        <v>89</v>
      </c>
      <c r="C2028" t="s">
        <v>36</v>
      </c>
      <c r="D2028">
        <v>0.37</v>
      </c>
      <c r="E2028">
        <v>123.53</v>
      </c>
      <c r="F2028">
        <v>0</v>
      </c>
      <c r="G2028">
        <v>0</v>
      </c>
      <c r="H2028">
        <v>3339</v>
      </c>
      <c r="I2028">
        <v>67</v>
      </c>
    </row>
    <row r="2029" spans="1:9" x14ac:dyDescent="0.3">
      <c r="A2029" s="1">
        <v>46235</v>
      </c>
      <c r="B2029" t="s">
        <v>88</v>
      </c>
      <c r="C2029" t="s">
        <v>36</v>
      </c>
      <c r="D2029">
        <v>0.33</v>
      </c>
      <c r="E2029">
        <v>86.94</v>
      </c>
      <c r="F2029">
        <v>0</v>
      </c>
      <c r="G2029">
        <v>0</v>
      </c>
      <c r="H2029">
        <v>2635</v>
      </c>
      <c r="I2029">
        <v>68</v>
      </c>
    </row>
    <row r="2030" spans="1:9" x14ac:dyDescent="0.3">
      <c r="A2030" s="1">
        <v>46235</v>
      </c>
      <c r="B2030" t="s">
        <v>93</v>
      </c>
      <c r="C2030" t="s">
        <v>36</v>
      </c>
      <c r="D2030">
        <v>0.31</v>
      </c>
      <c r="E2030">
        <v>151.08000000000001</v>
      </c>
      <c r="F2030">
        <v>0</v>
      </c>
      <c r="G2030">
        <v>0.01</v>
      </c>
      <c r="H2030">
        <v>4874</v>
      </c>
      <c r="I2030">
        <v>69</v>
      </c>
    </row>
    <row r="2031" spans="1:9" x14ac:dyDescent="0.3">
      <c r="A2031" s="1">
        <v>46235</v>
      </c>
      <c r="B2031" t="s">
        <v>134</v>
      </c>
      <c r="C2031" t="s">
        <v>36</v>
      </c>
      <c r="D2031">
        <v>0.28999999999999998</v>
      </c>
      <c r="E2031">
        <v>4.01</v>
      </c>
      <c r="F2031">
        <v>0</v>
      </c>
      <c r="G2031">
        <v>0</v>
      </c>
      <c r="H2031">
        <v>138</v>
      </c>
      <c r="I2031">
        <v>70</v>
      </c>
    </row>
    <row r="2032" spans="1:9" x14ac:dyDescent="0.3">
      <c r="A2032" s="1">
        <v>46235</v>
      </c>
      <c r="B2032" t="s">
        <v>94</v>
      </c>
      <c r="C2032" t="s">
        <v>36</v>
      </c>
      <c r="D2032">
        <v>0.28999999999999998</v>
      </c>
      <c r="E2032">
        <v>20.57</v>
      </c>
      <c r="F2032">
        <v>0</v>
      </c>
      <c r="G2032">
        <v>0</v>
      </c>
      <c r="H2032">
        <v>709</v>
      </c>
      <c r="I2032">
        <v>70</v>
      </c>
    </row>
    <row r="2033" spans="1:9" x14ac:dyDescent="0.3">
      <c r="A2033" s="1">
        <v>46235</v>
      </c>
      <c r="B2033" t="s">
        <v>110</v>
      </c>
      <c r="C2033" t="s">
        <v>36</v>
      </c>
      <c r="D2033">
        <v>0.26</v>
      </c>
      <c r="E2033">
        <v>97.96</v>
      </c>
      <c r="F2033">
        <v>0</v>
      </c>
      <c r="G2033">
        <v>0</v>
      </c>
      <c r="H2033">
        <v>3768</v>
      </c>
      <c r="I2033">
        <v>72</v>
      </c>
    </row>
    <row r="2034" spans="1:9" x14ac:dyDescent="0.3">
      <c r="A2034" s="1">
        <v>46235</v>
      </c>
      <c r="B2034" t="s">
        <v>83</v>
      </c>
      <c r="C2034" t="s">
        <v>36</v>
      </c>
      <c r="D2034">
        <v>0.2</v>
      </c>
      <c r="E2034">
        <v>23.33</v>
      </c>
      <c r="F2034">
        <v>0</v>
      </c>
      <c r="G2034">
        <v>0</v>
      </c>
      <c r="H2034">
        <v>1167</v>
      </c>
      <c r="I2034">
        <v>73</v>
      </c>
    </row>
    <row r="2035" spans="1:9" x14ac:dyDescent="0.3">
      <c r="A2035" s="1">
        <v>46235</v>
      </c>
      <c r="B2035" t="s">
        <v>95</v>
      </c>
      <c r="C2035" t="s">
        <v>36</v>
      </c>
      <c r="D2035">
        <v>0.19</v>
      </c>
      <c r="E2035">
        <v>133.25</v>
      </c>
      <c r="F2035">
        <v>0</v>
      </c>
      <c r="G2035">
        <v>0</v>
      </c>
      <c r="H2035">
        <v>7013</v>
      </c>
      <c r="I2035">
        <v>74</v>
      </c>
    </row>
    <row r="2036" spans="1:9" x14ac:dyDescent="0.3">
      <c r="A2036" s="1">
        <v>46235</v>
      </c>
      <c r="B2036" t="s">
        <v>127</v>
      </c>
      <c r="C2036" t="s">
        <v>36</v>
      </c>
      <c r="D2036">
        <v>0.16</v>
      </c>
      <c r="E2036">
        <v>25.19</v>
      </c>
      <c r="F2036">
        <v>0</v>
      </c>
      <c r="G2036">
        <v>0</v>
      </c>
      <c r="H2036">
        <v>1574</v>
      </c>
      <c r="I2036">
        <v>75</v>
      </c>
    </row>
    <row r="2037" spans="1:9" x14ac:dyDescent="0.3">
      <c r="A2037" s="1">
        <v>46235</v>
      </c>
      <c r="B2037" t="s">
        <v>116</v>
      </c>
      <c r="C2037" t="s">
        <v>36</v>
      </c>
      <c r="D2037">
        <v>0.16</v>
      </c>
      <c r="E2037">
        <v>52.18</v>
      </c>
      <c r="F2037">
        <v>0</v>
      </c>
      <c r="G2037">
        <v>0</v>
      </c>
      <c r="H2037">
        <v>3261</v>
      </c>
      <c r="I2037">
        <v>75</v>
      </c>
    </row>
    <row r="2038" spans="1:9" x14ac:dyDescent="0.3">
      <c r="A2038" s="1">
        <v>46235</v>
      </c>
      <c r="B2038" t="s">
        <v>101</v>
      </c>
      <c r="C2038" t="s">
        <v>36</v>
      </c>
      <c r="D2038">
        <v>0.14000000000000001</v>
      </c>
      <c r="E2038">
        <v>48.44</v>
      </c>
      <c r="F2038">
        <v>0</v>
      </c>
      <c r="G2038">
        <v>0</v>
      </c>
      <c r="H2038">
        <v>3460</v>
      </c>
      <c r="I2038">
        <v>77</v>
      </c>
    </row>
    <row r="2039" spans="1:9" x14ac:dyDescent="0.3">
      <c r="A2039" s="1">
        <v>46235</v>
      </c>
      <c r="B2039" t="s">
        <v>90</v>
      </c>
      <c r="C2039" t="s">
        <v>36</v>
      </c>
      <c r="D2039">
        <v>0.12</v>
      </c>
      <c r="E2039">
        <v>6.62</v>
      </c>
      <c r="F2039">
        <v>0</v>
      </c>
      <c r="G2039">
        <v>0</v>
      </c>
      <c r="H2039">
        <v>552</v>
      </c>
      <c r="I2039">
        <v>78</v>
      </c>
    </row>
    <row r="2040" spans="1:9" x14ac:dyDescent="0.3">
      <c r="A2040" s="1">
        <v>46235</v>
      </c>
      <c r="B2040" t="s">
        <v>128</v>
      </c>
      <c r="C2040" t="s">
        <v>36</v>
      </c>
      <c r="D2040">
        <v>0.12</v>
      </c>
      <c r="E2040">
        <v>20.92</v>
      </c>
      <c r="F2040">
        <v>0</v>
      </c>
      <c r="G2040">
        <v>0</v>
      </c>
      <c r="H2040">
        <v>1743</v>
      </c>
      <c r="I2040">
        <v>78</v>
      </c>
    </row>
    <row r="2041" spans="1:9" x14ac:dyDescent="0.3">
      <c r="A2041" s="1">
        <v>46235</v>
      </c>
      <c r="B2041" t="s">
        <v>99</v>
      </c>
      <c r="C2041" t="s">
        <v>36</v>
      </c>
      <c r="D2041">
        <v>0.11</v>
      </c>
      <c r="E2041">
        <v>3.8</v>
      </c>
      <c r="F2041">
        <v>0</v>
      </c>
      <c r="G2041">
        <v>0</v>
      </c>
      <c r="H2041">
        <v>345</v>
      </c>
      <c r="I2041">
        <v>80</v>
      </c>
    </row>
    <row r="2042" spans="1:9" x14ac:dyDescent="0.3">
      <c r="A2042" s="1">
        <v>46235</v>
      </c>
      <c r="B2042" t="s">
        <v>105</v>
      </c>
      <c r="C2042" t="s">
        <v>36</v>
      </c>
      <c r="D2042">
        <v>0.09</v>
      </c>
      <c r="E2042">
        <v>25.73</v>
      </c>
      <c r="F2042">
        <v>0</v>
      </c>
      <c r="G2042">
        <v>0</v>
      </c>
      <c r="H2042">
        <v>2859</v>
      </c>
      <c r="I2042">
        <v>81</v>
      </c>
    </row>
    <row r="2043" spans="1:9" x14ac:dyDescent="0.3">
      <c r="A2043" s="1">
        <v>46235</v>
      </c>
      <c r="B2043" t="s">
        <v>96</v>
      </c>
      <c r="C2043" t="s">
        <v>36</v>
      </c>
      <c r="D2043">
        <v>0.09</v>
      </c>
      <c r="E2043">
        <v>34.6</v>
      </c>
      <c r="F2043">
        <v>0</v>
      </c>
      <c r="G2043">
        <v>0</v>
      </c>
      <c r="H2043">
        <v>3844</v>
      </c>
      <c r="I2043">
        <v>81</v>
      </c>
    </row>
    <row r="2044" spans="1:9" x14ac:dyDescent="0.3">
      <c r="A2044" s="1">
        <v>46235</v>
      </c>
      <c r="B2044" t="s">
        <v>86</v>
      </c>
      <c r="C2044" t="s">
        <v>36</v>
      </c>
      <c r="D2044">
        <v>0.08</v>
      </c>
      <c r="E2044">
        <v>27.81</v>
      </c>
      <c r="F2044">
        <v>0</v>
      </c>
      <c r="G2044">
        <v>0</v>
      </c>
      <c r="H2044">
        <v>3476</v>
      </c>
      <c r="I2044">
        <v>83</v>
      </c>
    </row>
    <row r="2045" spans="1:9" x14ac:dyDescent="0.3">
      <c r="A2045" s="1">
        <v>46235</v>
      </c>
      <c r="B2045" t="s">
        <v>119</v>
      </c>
      <c r="C2045" t="s">
        <v>36</v>
      </c>
      <c r="D2045">
        <v>0.08</v>
      </c>
      <c r="E2045">
        <v>8.0299999999999994</v>
      </c>
      <c r="F2045">
        <v>0</v>
      </c>
      <c r="G2045">
        <v>0</v>
      </c>
      <c r="H2045">
        <v>1004</v>
      </c>
      <c r="I2045">
        <v>83</v>
      </c>
    </row>
    <row r="2046" spans="1:9" x14ac:dyDescent="0.3">
      <c r="A2046" s="1">
        <v>46235</v>
      </c>
      <c r="B2046" t="s">
        <v>125</v>
      </c>
      <c r="C2046" t="s">
        <v>36</v>
      </c>
      <c r="D2046">
        <v>7.0000000000000007E-2</v>
      </c>
      <c r="E2046">
        <v>6.35</v>
      </c>
      <c r="F2046">
        <v>0</v>
      </c>
      <c r="G2046">
        <v>0</v>
      </c>
      <c r="H2046">
        <v>907</v>
      </c>
      <c r="I2046">
        <v>85</v>
      </c>
    </row>
    <row r="2047" spans="1:9" x14ac:dyDescent="0.3">
      <c r="A2047" s="1">
        <v>46235</v>
      </c>
      <c r="B2047" t="s">
        <v>133</v>
      </c>
      <c r="C2047" t="s">
        <v>36</v>
      </c>
      <c r="D2047">
        <v>0.05</v>
      </c>
      <c r="E2047">
        <v>3.25</v>
      </c>
      <c r="F2047">
        <v>0</v>
      </c>
      <c r="G2047">
        <v>0</v>
      </c>
      <c r="H2047">
        <v>650</v>
      </c>
      <c r="I2047">
        <v>86</v>
      </c>
    </row>
    <row r="2048" spans="1:9" x14ac:dyDescent="0.3">
      <c r="A2048" s="1">
        <v>46235</v>
      </c>
      <c r="B2048" t="s">
        <v>126</v>
      </c>
      <c r="C2048" t="s">
        <v>36</v>
      </c>
      <c r="D2048">
        <v>0.05</v>
      </c>
      <c r="E2048">
        <v>4.7</v>
      </c>
      <c r="F2048">
        <v>0</v>
      </c>
      <c r="G2048">
        <v>0</v>
      </c>
      <c r="H2048">
        <v>940</v>
      </c>
      <c r="I2048">
        <v>86</v>
      </c>
    </row>
    <row r="2049" spans="1:9" x14ac:dyDescent="0.3">
      <c r="A2049" s="1">
        <v>46235</v>
      </c>
      <c r="B2049" t="s">
        <v>137</v>
      </c>
      <c r="C2049" t="s">
        <v>36</v>
      </c>
      <c r="D2049">
        <v>0.04</v>
      </c>
      <c r="E2049">
        <v>5.97</v>
      </c>
      <c r="F2049">
        <v>0</v>
      </c>
      <c r="G2049">
        <v>0</v>
      </c>
      <c r="H2049">
        <v>1493</v>
      </c>
      <c r="I2049">
        <v>88</v>
      </c>
    </row>
    <row r="2050" spans="1:9" x14ac:dyDescent="0.3">
      <c r="A2050" s="1">
        <v>46235</v>
      </c>
      <c r="B2050" t="s">
        <v>129</v>
      </c>
      <c r="C2050" t="s">
        <v>36</v>
      </c>
      <c r="D2050">
        <v>0.04</v>
      </c>
      <c r="E2050">
        <v>2.93</v>
      </c>
      <c r="F2050">
        <v>0</v>
      </c>
      <c r="G2050">
        <v>0</v>
      </c>
      <c r="H2050">
        <v>733</v>
      </c>
      <c r="I2050">
        <v>88</v>
      </c>
    </row>
    <row r="2051" spans="1:9" x14ac:dyDescent="0.3">
      <c r="A2051" s="1">
        <v>46235</v>
      </c>
      <c r="B2051" t="s">
        <v>104</v>
      </c>
      <c r="C2051" t="s">
        <v>36</v>
      </c>
      <c r="D2051">
        <v>0.03</v>
      </c>
      <c r="E2051">
        <v>15.76</v>
      </c>
      <c r="F2051">
        <v>0</v>
      </c>
      <c r="G2051">
        <v>0</v>
      </c>
      <c r="H2051">
        <v>5253</v>
      </c>
      <c r="I2051">
        <v>90</v>
      </c>
    </row>
    <row r="2052" spans="1:9" x14ac:dyDescent="0.3">
      <c r="A2052" s="1">
        <v>46235</v>
      </c>
      <c r="B2052" t="s">
        <v>136</v>
      </c>
      <c r="C2052" t="s">
        <v>36</v>
      </c>
      <c r="D2052">
        <v>0.03</v>
      </c>
      <c r="E2052">
        <v>4.1100000000000003</v>
      </c>
      <c r="F2052">
        <v>0</v>
      </c>
      <c r="G2052">
        <v>0</v>
      </c>
      <c r="H2052">
        <v>1370</v>
      </c>
      <c r="I2052">
        <v>90</v>
      </c>
    </row>
    <row r="2053" spans="1:9" x14ac:dyDescent="0.3">
      <c r="A2053" s="1">
        <v>46235</v>
      </c>
      <c r="B2053" t="s">
        <v>138</v>
      </c>
      <c r="C2053" t="s">
        <v>36</v>
      </c>
      <c r="D2053">
        <v>0.02</v>
      </c>
      <c r="E2053">
        <v>3.43</v>
      </c>
      <c r="F2053">
        <v>0</v>
      </c>
      <c r="G2053">
        <v>0</v>
      </c>
      <c r="H2053">
        <v>1715</v>
      </c>
      <c r="I2053">
        <v>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7FB7-133E-48F4-89B7-B954BD30490F}">
  <dimension ref="A1:D25"/>
  <sheetViews>
    <sheetView workbookViewId="0">
      <selection activeCell="P15" sqref="P15"/>
    </sheetView>
  </sheetViews>
  <sheetFormatPr defaultRowHeight="14.4" x14ac:dyDescent="0.3"/>
  <cols>
    <col min="1" max="1" width="13.6640625" bestFit="1" customWidth="1"/>
    <col min="2" max="3" width="16.44140625" bestFit="1" customWidth="1"/>
    <col min="4" max="4" width="5.88671875" bestFit="1" customWidth="1"/>
  </cols>
  <sheetData>
    <row r="1" spans="1:4" x14ac:dyDescent="0.3">
      <c r="A1" t="s">
        <v>0</v>
      </c>
      <c r="B1" t="s">
        <v>140</v>
      </c>
      <c r="C1" t="s">
        <v>141</v>
      </c>
      <c r="D1" t="s">
        <v>142</v>
      </c>
    </row>
    <row r="2" spans="1:4" x14ac:dyDescent="0.3">
      <c r="A2" s="1">
        <v>45536</v>
      </c>
      <c r="B2">
        <v>85.4</v>
      </c>
      <c r="C2">
        <v>94.2</v>
      </c>
      <c r="D2">
        <v>3757</v>
      </c>
    </row>
    <row r="3" spans="1:4" x14ac:dyDescent="0.3">
      <c r="A3" s="1">
        <v>45566</v>
      </c>
      <c r="B3">
        <v>85.1</v>
      </c>
      <c r="C3">
        <v>94</v>
      </c>
      <c r="D3">
        <v>3723</v>
      </c>
    </row>
    <row r="4" spans="1:4" x14ac:dyDescent="0.3">
      <c r="A4" s="1">
        <v>45597</v>
      </c>
      <c r="B4">
        <v>84.9</v>
      </c>
      <c r="C4">
        <v>93.7</v>
      </c>
      <c r="D4">
        <v>3712</v>
      </c>
    </row>
    <row r="5" spans="1:4" x14ac:dyDescent="0.3">
      <c r="A5" s="1">
        <v>45627</v>
      </c>
      <c r="B5">
        <v>84.4</v>
      </c>
      <c r="C5">
        <v>93.4</v>
      </c>
      <c r="D5">
        <v>3676</v>
      </c>
    </row>
    <row r="6" spans="1:4" x14ac:dyDescent="0.3">
      <c r="A6" s="1">
        <v>45658</v>
      </c>
      <c r="B6">
        <v>84.1</v>
      </c>
      <c r="C6">
        <v>93.1</v>
      </c>
      <c r="D6">
        <v>3647</v>
      </c>
    </row>
    <row r="7" spans="1:4" x14ac:dyDescent="0.3">
      <c r="A7" s="1">
        <v>45689</v>
      </c>
      <c r="B7">
        <v>83.8</v>
      </c>
      <c r="C7">
        <v>93</v>
      </c>
      <c r="D7">
        <v>3624</v>
      </c>
    </row>
    <row r="8" spans="1:4" x14ac:dyDescent="0.3">
      <c r="A8" s="1">
        <v>45717</v>
      </c>
      <c r="B8">
        <v>83.3</v>
      </c>
      <c r="C8">
        <v>92.7</v>
      </c>
      <c r="D8">
        <v>3583</v>
      </c>
    </row>
    <row r="9" spans="1:4" x14ac:dyDescent="0.3">
      <c r="A9" s="1">
        <v>45748</v>
      </c>
      <c r="B9">
        <v>83</v>
      </c>
      <c r="C9">
        <v>92.7</v>
      </c>
      <c r="D9">
        <v>3552</v>
      </c>
    </row>
    <row r="10" spans="1:4" x14ac:dyDescent="0.3">
      <c r="A10" s="1">
        <v>45778</v>
      </c>
      <c r="B10">
        <v>82.6</v>
      </c>
      <c r="C10">
        <v>92.6</v>
      </c>
      <c r="D10">
        <v>3518</v>
      </c>
    </row>
    <row r="11" spans="1:4" x14ac:dyDescent="0.3">
      <c r="A11" s="1">
        <v>45809</v>
      </c>
      <c r="B11">
        <v>82</v>
      </c>
      <c r="C11">
        <v>92.3</v>
      </c>
      <c r="D11">
        <v>3480</v>
      </c>
    </row>
    <row r="12" spans="1:4" x14ac:dyDescent="0.3">
      <c r="A12" s="1">
        <v>45839</v>
      </c>
      <c r="B12">
        <v>81.400000000000006</v>
      </c>
      <c r="C12">
        <v>92</v>
      </c>
      <c r="D12">
        <v>3428</v>
      </c>
    </row>
    <row r="13" spans="1:4" x14ac:dyDescent="0.3">
      <c r="A13" s="1">
        <v>45870</v>
      </c>
      <c r="B13">
        <v>81</v>
      </c>
      <c r="C13">
        <v>91.9</v>
      </c>
      <c r="D13">
        <v>3399</v>
      </c>
    </row>
    <row r="14" spans="1:4" x14ac:dyDescent="0.3">
      <c r="A14" s="1">
        <v>45901</v>
      </c>
      <c r="B14">
        <v>80.400000000000006</v>
      </c>
      <c r="C14">
        <v>91.5</v>
      </c>
      <c r="D14">
        <v>3357</v>
      </c>
    </row>
    <row r="15" spans="1:4" x14ac:dyDescent="0.3">
      <c r="A15" s="1">
        <v>45931</v>
      </c>
      <c r="B15">
        <v>80.099999999999994</v>
      </c>
      <c r="C15">
        <v>91.4</v>
      </c>
      <c r="D15">
        <v>3329</v>
      </c>
    </row>
    <row r="16" spans="1:4" x14ac:dyDescent="0.3">
      <c r="A16" s="1">
        <v>45962</v>
      </c>
      <c r="B16">
        <v>79.900000000000006</v>
      </c>
      <c r="C16">
        <v>91.5</v>
      </c>
      <c r="D16">
        <v>3320</v>
      </c>
    </row>
    <row r="17" spans="1:4" x14ac:dyDescent="0.3">
      <c r="A17" s="1">
        <v>45992</v>
      </c>
      <c r="B17">
        <v>79.099999999999994</v>
      </c>
      <c r="C17">
        <v>91</v>
      </c>
      <c r="D17">
        <v>3265</v>
      </c>
    </row>
    <row r="18" spans="1:4" x14ac:dyDescent="0.3">
      <c r="A18" s="1">
        <v>46023</v>
      </c>
      <c r="B18">
        <v>79</v>
      </c>
      <c r="C18">
        <v>91.3</v>
      </c>
      <c r="D18">
        <v>3270</v>
      </c>
    </row>
    <row r="19" spans="1:4" x14ac:dyDescent="0.3">
      <c r="A19" s="1">
        <v>46054</v>
      </c>
      <c r="B19">
        <v>78.7</v>
      </c>
      <c r="C19">
        <v>91.1</v>
      </c>
      <c r="D19">
        <v>3250</v>
      </c>
    </row>
    <row r="20" spans="1:4" x14ac:dyDescent="0.3">
      <c r="A20" s="1">
        <v>46082</v>
      </c>
      <c r="B20">
        <v>79.7</v>
      </c>
      <c r="C20">
        <v>92.5</v>
      </c>
      <c r="D20">
        <v>3339</v>
      </c>
    </row>
    <row r="21" spans="1:4" x14ac:dyDescent="0.3">
      <c r="A21" s="1">
        <v>46113</v>
      </c>
      <c r="B21">
        <v>79.2</v>
      </c>
      <c r="C21">
        <v>92.4</v>
      </c>
      <c r="D21">
        <v>3304</v>
      </c>
    </row>
    <row r="22" spans="1:4" x14ac:dyDescent="0.3">
      <c r="A22" s="1">
        <v>46143</v>
      </c>
      <c r="B22">
        <v>79</v>
      </c>
      <c r="C22">
        <v>92.3</v>
      </c>
      <c r="D22">
        <v>3295</v>
      </c>
    </row>
    <row r="23" spans="1:4" x14ac:dyDescent="0.3">
      <c r="A23" s="1">
        <v>46174</v>
      </c>
      <c r="B23">
        <v>78.8</v>
      </c>
      <c r="C23">
        <v>92.3</v>
      </c>
      <c r="D23">
        <v>3277</v>
      </c>
    </row>
    <row r="24" spans="1:4" x14ac:dyDescent="0.3">
      <c r="A24" s="1">
        <v>46204</v>
      </c>
      <c r="B24">
        <v>78.2</v>
      </c>
      <c r="C24">
        <v>92.1</v>
      </c>
      <c r="D24">
        <v>3240</v>
      </c>
    </row>
    <row r="25" spans="1:4" x14ac:dyDescent="0.3">
      <c r="A25" s="1">
        <v>46235</v>
      </c>
      <c r="B25">
        <v>77.900000000000006</v>
      </c>
      <c r="C25">
        <v>92.1</v>
      </c>
      <c r="D25">
        <v>3215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619EB-5F43-4180-A802-ED7EB411BE0D}">
  <dimension ref="A1:G49"/>
  <sheetViews>
    <sheetView topLeftCell="A2" workbookViewId="0">
      <selection activeCell="A3" sqref="A3"/>
    </sheetView>
  </sheetViews>
  <sheetFormatPr defaultRowHeight="14.4" x14ac:dyDescent="0.3"/>
  <cols>
    <col min="1" max="1" width="13.6640625" bestFit="1" customWidth="1"/>
    <col min="2" max="2" width="10.6640625" bestFit="1" customWidth="1"/>
    <col min="3" max="3" width="13.33203125" bestFit="1" customWidth="1"/>
    <col min="4" max="4" width="11" bestFit="1" customWidth="1"/>
    <col min="5" max="5" width="18.88671875" bestFit="1" customWidth="1"/>
    <col min="6" max="6" width="17.109375" bestFit="1" customWidth="1"/>
    <col min="7" max="7" width="10.33203125" bestFit="1" customWidth="1"/>
  </cols>
  <sheetData>
    <row r="1" spans="1:7" x14ac:dyDescent="0.3">
      <c r="A1" t="s">
        <v>0</v>
      </c>
      <c r="B1" t="s">
        <v>143</v>
      </c>
      <c r="C1" t="s">
        <v>27</v>
      </c>
      <c r="D1" t="s">
        <v>28</v>
      </c>
      <c r="E1" t="s">
        <v>144</v>
      </c>
      <c r="F1" t="s">
        <v>145</v>
      </c>
      <c r="G1" t="s">
        <v>146</v>
      </c>
    </row>
    <row r="2" spans="1:7" x14ac:dyDescent="0.3">
      <c r="A2" s="1">
        <v>45536</v>
      </c>
      <c r="B2" t="s">
        <v>147</v>
      </c>
      <c r="C2">
        <v>5688.87</v>
      </c>
      <c r="D2">
        <v>1497941.07</v>
      </c>
      <c r="E2">
        <v>37.799999999999997</v>
      </c>
      <c r="F2">
        <v>72.599999999999994</v>
      </c>
      <c r="G2">
        <v>2633</v>
      </c>
    </row>
    <row r="3" spans="1:7" x14ac:dyDescent="0.3">
      <c r="A3" s="1">
        <v>45536</v>
      </c>
      <c r="B3" t="s">
        <v>148</v>
      </c>
      <c r="C3">
        <v>9352.8799999999992</v>
      </c>
      <c r="D3">
        <v>566053.64</v>
      </c>
      <c r="E3">
        <v>62.2</v>
      </c>
      <c r="F3">
        <v>27.4</v>
      </c>
      <c r="G3">
        <v>605</v>
      </c>
    </row>
    <row r="4" spans="1:7" x14ac:dyDescent="0.3">
      <c r="A4" s="1">
        <v>45566</v>
      </c>
      <c r="B4" t="s">
        <v>147</v>
      </c>
      <c r="C4">
        <v>6281.79</v>
      </c>
      <c r="D4">
        <v>1681872.99</v>
      </c>
      <c r="E4">
        <v>37.9</v>
      </c>
      <c r="F4">
        <v>71.599999999999994</v>
      </c>
      <c r="G4">
        <v>2677</v>
      </c>
    </row>
    <row r="5" spans="1:7" x14ac:dyDescent="0.3">
      <c r="A5" s="1">
        <v>45566</v>
      </c>
      <c r="B5" t="s">
        <v>148</v>
      </c>
      <c r="C5">
        <v>10303.18</v>
      </c>
      <c r="D5">
        <v>667948.46</v>
      </c>
      <c r="E5">
        <v>62.1</v>
      </c>
      <c r="F5">
        <v>28.4</v>
      </c>
      <c r="G5">
        <v>648</v>
      </c>
    </row>
    <row r="6" spans="1:7" x14ac:dyDescent="0.3">
      <c r="A6" s="1">
        <v>45597</v>
      </c>
      <c r="B6" t="s">
        <v>147</v>
      </c>
      <c r="C6">
        <v>5833.16</v>
      </c>
      <c r="D6">
        <v>1556010.77</v>
      </c>
      <c r="E6">
        <v>37.700000000000003</v>
      </c>
      <c r="F6">
        <v>72.2</v>
      </c>
      <c r="G6">
        <v>2668</v>
      </c>
    </row>
    <row r="7" spans="1:7" x14ac:dyDescent="0.3">
      <c r="A7" s="1">
        <v>45597</v>
      </c>
      <c r="B7" t="s">
        <v>148</v>
      </c>
      <c r="C7">
        <v>9648.8700000000008</v>
      </c>
      <c r="D7">
        <v>599176.63</v>
      </c>
      <c r="E7">
        <v>62.3</v>
      </c>
      <c r="F7">
        <v>27.8</v>
      </c>
      <c r="G7">
        <v>621</v>
      </c>
    </row>
    <row r="8" spans="1:7" x14ac:dyDescent="0.3">
      <c r="A8" s="1">
        <v>45627</v>
      </c>
      <c r="B8" t="s">
        <v>147</v>
      </c>
      <c r="C8">
        <v>6335.63</v>
      </c>
      <c r="D8">
        <v>1692632.54</v>
      </c>
      <c r="E8">
        <v>37.9</v>
      </c>
      <c r="F8">
        <v>72.8</v>
      </c>
      <c r="G8">
        <v>2672</v>
      </c>
    </row>
    <row r="9" spans="1:7" x14ac:dyDescent="0.3">
      <c r="A9" s="1">
        <v>45627</v>
      </c>
      <c r="B9" t="s">
        <v>148</v>
      </c>
      <c r="C9">
        <v>10394.379999999999</v>
      </c>
      <c r="D9">
        <v>632067.37</v>
      </c>
      <c r="E9">
        <v>62.1</v>
      </c>
      <c r="F9">
        <v>27.2</v>
      </c>
      <c r="G9">
        <v>608</v>
      </c>
    </row>
    <row r="10" spans="1:7" x14ac:dyDescent="0.3">
      <c r="A10" s="1">
        <v>45658</v>
      </c>
      <c r="B10" t="s">
        <v>147</v>
      </c>
      <c r="C10">
        <v>6426.25</v>
      </c>
      <c r="D10">
        <v>1703333.03</v>
      </c>
      <c r="E10">
        <v>37.799999999999997</v>
      </c>
      <c r="F10">
        <v>72.5</v>
      </c>
      <c r="G10">
        <v>2651</v>
      </c>
    </row>
    <row r="11" spans="1:7" x14ac:dyDescent="0.3">
      <c r="A11" s="1">
        <v>45658</v>
      </c>
      <c r="B11" t="s">
        <v>148</v>
      </c>
      <c r="C11">
        <v>10569.75</v>
      </c>
      <c r="D11">
        <v>644704.09</v>
      </c>
      <c r="E11">
        <v>62.2</v>
      </c>
      <c r="F11">
        <v>27.5</v>
      </c>
      <c r="G11">
        <v>610</v>
      </c>
    </row>
    <row r="12" spans="1:7" x14ac:dyDescent="0.3">
      <c r="A12" s="1">
        <v>45689</v>
      </c>
      <c r="B12" t="s">
        <v>147</v>
      </c>
      <c r="C12">
        <v>6039.45</v>
      </c>
      <c r="D12">
        <v>1606397.95</v>
      </c>
      <c r="E12">
        <v>37.5</v>
      </c>
      <c r="F12">
        <v>73.099999999999994</v>
      </c>
      <c r="G12">
        <v>2660</v>
      </c>
    </row>
    <row r="13" spans="1:7" x14ac:dyDescent="0.3">
      <c r="A13" s="1">
        <v>45689</v>
      </c>
      <c r="B13" t="s">
        <v>148</v>
      </c>
      <c r="C13">
        <v>10066.74</v>
      </c>
      <c r="D13">
        <v>590083.74</v>
      </c>
      <c r="E13">
        <v>62.5</v>
      </c>
      <c r="F13">
        <v>26.9</v>
      </c>
      <c r="G13">
        <v>586</v>
      </c>
    </row>
    <row r="14" spans="1:7" x14ac:dyDescent="0.3">
      <c r="A14" s="1">
        <v>45717</v>
      </c>
      <c r="B14" t="s">
        <v>147</v>
      </c>
      <c r="C14">
        <v>6840.45</v>
      </c>
      <c r="D14">
        <v>1806811.06</v>
      </c>
      <c r="E14">
        <v>37.4</v>
      </c>
      <c r="F14">
        <v>72.900000000000006</v>
      </c>
      <c r="G14">
        <v>2641</v>
      </c>
    </row>
    <row r="15" spans="1:7" x14ac:dyDescent="0.3">
      <c r="A15" s="1">
        <v>45717</v>
      </c>
      <c r="B15" t="s">
        <v>148</v>
      </c>
      <c r="C15">
        <v>11461.06</v>
      </c>
      <c r="D15">
        <v>670410.55000000005</v>
      </c>
      <c r="E15">
        <v>62.6</v>
      </c>
      <c r="F15">
        <v>27.1</v>
      </c>
      <c r="G15">
        <v>585</v>
      </c>
    </row>
    <row r="16" spans="1:7" x14ac:dyDescent="0.3">
      <c r="A16" s="1">
        <v>45748</v>
      </c>
      <c r="B16" t="s">
        <v>147</v>
      </c>
      <c r="C16">
        <v>6539.82</v>
      </c>
      <c r="D16">
        <v>1731364.08</v>
      </c>
      <c r="E16">
        <v>36.5</v>
      </c>
      <c r="F16">
        <v>72.3</v>
      </c>
      <c r="G16">
        <v>2647</v>
      </c>
    </row>
    <row r="17" spans="1:7" x14ac:dyDescent="0.3">
      <c r="A17" s="1">
        <v>45748</v>
      </c>
      <c r="B17" t="s">
        <v>148</v>
      </c>
      <c r="C17">
        <v>11353.6</v>
      </c>
      <c r="D17">
        <v>663561.79</v>
      </c>
      <c r="E17">
        <v>63.5</v>
      </c>
      <c r="F17">
        <v>27.7</v>
      </c>
      <c r="G17">
        <v>584</v>
      </c>
    </row>
    <row r="18" spans="1:7" x14ac:dyDescent="0.3">
      <c r="A18" s="1">
        <v>45778</v>
      </c>
      <c r="B18" t="s">
        <v>147</v>
      </c>
      <c r="C18">
        <v>6823.8</v>
      </c>
      <c r="D18">
        <v>1817672.02</v>
      </c>
      <c r="E18">
        <v>36.5</v>
      </c>
      <c r="F18">
        <v>72.3</v>
      </c>
      <c r="G18">
        <v>2664</v>
      </c>
    </row>
    <row r="19" spans="1:7" x14ac:dyDescent="0.3">
      <c r="A19" s="1">
        <v>45778</v>
      </c>
      <c r="B19" t="s">
        <v>148</v>
      </c>
      <c r="C19">
        <v>11853.66</v>
      </c>
      <c r="D19">
        <v>696624.99</v>
      </c>
      <c r="E19">
        <v>63.5</v>
      </c>
      <c r="F19">
        <v>27.7</v>
      </c>
      <c r="G19">
        <v>588</v>
      </c>
    </row>
    <row r="20" spans="1:7" x14ac:dyDescent="0.3">
      <c r="A20" s="1">
        <v>45809</v>
      </c>
      <c r="B20" t="s">
        <v>147</v>
      </c>
      <c r="C20">
        <v>6685.63</v>
      </c>
      <c r="D20">
        <v>1721058.47</v>
      </c>
      <c r="E20">
        <v>36.299999999999997</v>
      </c>
      <c r="F20">
        <v>71.599999999999994</v>
      </c>
      <c r="G20">
        <v>2574</v>
      </c>
    </row>
    <row r="21" spans="1:7" x14ac:dyDescent="0.3">
      <c r="A21" s="1">
        <v>45809</v>
      </c>
      <c r="B21" t="s">
        <v>148</v>
      </c>
      <c r="C21">
        <v>11709.38</v>
      </c>
      <c r="D21">
        <v>682872.22</v>
      </c>
      <c r="E21">
        <v>63.7</v>
      </c>
      <c r="F21">
        <v>28.4</v>
      </c>
      <c r="G21">
        <v>583</v>
      </c>
    </row>
    <row r="22" spans="1:7" x14ac:dyDescent="0.3">
      <c r="A22" s="1">
        <v>45839</v>
      </c>
      <c r="B22" t="s">
        <v>147</v>
      </c>
      <c r="C22">
        <v>7079.84</v>
      </c>
      <c r="D22">
        <v>1774485.73</v>
      </c>
      <c r="E22">
        <v>36.4</v>
      </c>
      <c r="F22">
        <v>70.7</v>
      </c>
      <c r="G22">
        <v>2506</v>
      </c>
    </row>
    <row r="23" spans="1:7" x14ac:dyDescent="0.3">
      <c r="A23" s="1">
        <v>45839</v>
      </c>
      <c r="B23" t="s">
        <v>148</v>
      </c>
      <c r="C23">
        <v>12388.11</v>
      </c>
      <c r="D23">
        <v>734012.36</v>
      </c>
      <c r="E23">
        <v>63.6</v>
      </c>
      <c r="F23">
        <v>29.3</v>
      </c>
      <c r="G23">
        <v>593</v>
      </c>
    </row>
    <row r="24" spans="1:7" x14ac:dyDescent="0.3">
      <c r="A24" s="1">
        <v>45870</v>
      </c>
      <c r="B24" t="s">
        <v>147</v>
      </c>
      <c r="C24">
        <v>7303.15</v>
      </c>
      <c r="D24">
        <v>1761675.49</v>
      </c>
      <c r="E24">
        <v>36.5</v>
      </c>
      <c r="F24">
        <v>70.900000000000006</v>
      </c>
      <c r="G24">
        <v>2412</v>
      </c>
    </row>
    <row r="25" spans="1:7" x14ac:dyDescent="0.3">
      <c r="A25" s="1">
        <v>45870</v>
      </c>
      <c r="B25" t="s">
        <v>148</v>
      </c>
      <c r="C25">
        <v>12705.16</v>
      </c>
      <c r="D25">
        <v>723797.42</v>
      </c>
      <c r="E25">
        <v>63.5</v>
      </c>
      <c r="F25">
        <v>29.1</v>
      </c>
      <c r="G25">
        <v>570</v>
      </c>
    </row>
    <row r="26" spans="1:7" x14ac:dyDescent="0.3">
      <c r="A26" s="1">
        <v>45901</v>
      </c>
      <c r="B26" t="s">
        <v>147</v>
      </c>
      <c r="C26">
        <v>7266.46</v>
      </c>
      <c r="D26">
        <v>1770169.25</v>
      </c>
      <c r="E26">
        <v>37</v>
      </c>
      <c r="F26">
        <v>71.099999999999994</v>
      </c>
      <c r="G26">
        <v>2436</v>
      </c>
    </row>
    <row r="27" spans="1:7" x14ac:dyDescent="0.3">
      <c r="A27" s="1">
        <v>45901</v>
      </c>
      <c r="B27" t="s">
        <v>148</v>
      </c>
      <c r="C27">
        <v>12366.97</v>
      </c>
      <c r="D27">
        <v>719567.29</v>
      </c>
      <c r="E27">
        <v>63</v>
      </c>
      <c r="F27">
        <v>28.9</v>
      </c>
      <c r="G27">
        <v>582</v>
      </c>
    </row>
    <row r="28" spans="1:7" x14ac:dyDescent="0.3">
      <c r="A28" s="1">
        <v>45931</v>
      </c>
      <c r="B28" t="s">
        <v>147</v>
      </c>
      <c r="C28">
        <v>7673.36</v>
      </c>
      <c r="D28">
        <v>1902048.48</v>
      </c>
      <c r="E28">
        <v>37.1</v>
      </c>
      <c r="F28">
        <v>69.7</v>
      </c>
      <c r="G28">
        <v>2479</v>
      </c>
    </row>
    <row r="29" spans="1:7" x14ac:dyDescent="0.3">
      <c r="A29" s="1">
        <v>45931</v>
      </c>
      <c r="B29" t="s">
        <v>148</v>
      </c>
      <c r="C29">
        <v>13027.56</v>
      </c>
      <c r="D29">
        <v>825742.2</v>
      </c>
      <c r="E29">
        <v>62.9</v>
      </c>
      <c r="F29">
        <v>30.3</v>
      </c>
      <c r="G29">
        <v>634</v>
      </c>
    </row>
    <row r="30" spans="1:7" x14ac:dyDescent="0.3">
      <c r="A30" s="1">
        <v>45962</v>
      </c>
      <c r="B30" t="s">
        <v>147</v>
      </c>
      <c r="C30">
        <v>7626.49</v>
      </c>
      <c r="D30">
        <v>1867080.57</v>
      </c>
      <c r="E30">
        <v>37.299999999999997</v>
      </c>
      <c r="F30">
        <v>70.900000000000006</v>
      </c>
      <c r="G30">
        <v>2448</v>
      </c>
    </row>
    <row r="31" spans="1:7" x14ac:dyDescent="0.3">
      <c r="A31" s="1">
        <v>45962</v>
      </c>
      <c r="B31" t="s">
        <v>148</v>
      </c>
      <c r="C31">
        <v>12840.49</v>
      </c>
      <c r="D31">
        <v>764552.06</v>
      </c>
      <c r="E31">
        <v>62.7</v>
      </c>
      <c r="F31">
        <v>29.1</v>
      </c>
      <c r="G31">
        <v>595</v>
      </c>
    </row>
    <row r="32" spans="1:7" x14ac:dyDescent="0.3">
      <c r="A32" s="1">
        <v>45992</v>
      </c>
      <c r="B32" t="s">
        <v>147</v>
      </c>
      <c r="C32">
        <v>8152.29</v>
      </c>
      <c r="D32">
        <v>1989139.74</v>
      </c>
      <c r="E32">
        <v>37.700000000000003</v>
      </c>
      <c r="F32">
        <v>71.099999999999994</v>
      </c>
      <c r="G32">
        <v>2440</v>
      </c>
    </row>
    <row r="33" spans="1:7" x14ac:dyDescent="0.3">
      <c r="A33" s="1">
        <v>45992</v>
      </c>
      <c r="B33" t="s">
        <v>148</v>
      </c>
      <c r="C33">
        <v>13482.38</v>
      </c>
      <c r="D33">
        <v>807572.99</v>
      </c>
      <c r="E33">
        <v>62.3</v>
      </c>
      <c r="F33">
        <v>28.9</v>
      </c>
      <c r="G33">
        <v>599</v>
      </c>
    </row>
    <row r="34" spans="1:7" x14ac:dyDescent="0.3">
      <c r="A34" s="1">
        <v>46023</v>
      </c>
      <c r="B34" t="s">
        <v>147</v>
      </c>
      <c r="C34">
        <v>8095.35</v>
      </c>
      <c r="D34">
        <v>1992655.39</v>
      </c>
      <c r="E34">
        <v>37.299999999999997</v>
      </c>
      <c r="F34">
        <v>70.3</v>
      </c>
      <c r="G34">
        <v>2461</v>
      </c>
    </row>
    <row r="35" spans="1:7" x14ac:dyDescent="0.3">
      <c r="A35" s="1">
        <v>46023</v>
      </c>
      <c r="B35" t="s">
        <v>148</v>
      </c>
      <c r="C35">
        <v>13608.1</v>
      </c>
      <c r="D35">
        <v>840825.83</v>
      </c>
      <c r="E35">
        <v>62.7</v>
      </c>
      <c r="F35">
        <v>29.7</v>
      </c>
      <c r="G35">
        <v>618</v>
      </c>
    </row>
    <row r="36" spans="1:7" x14ac:dyDescent="0.3">
      <c r="A36" s="1">
        <v>46054</v>
      </c>
      <c r="B36" t="s">
        <v>147</v>
      </c>
      <c r="C36">
        <v>7598.4</v>
      </c>
      <c r="D36">
        <v>1911812.35</v>
      </c>
      <c r="E36">
        <v>37.299999999999997</v>
      </c>
      <c r="F36">
        <v>71.2</v>
      </c>
      <c r="G36">
        <v>2516</v>
      </c>
    </row>
    <row r="37" spans="1:7" x14ac:dyDescent="0.3">
      <c r="A37" s="1">
        <v>46054</v>
      </c>
      <c r="B37" t="s">
        <v>148</v>
      </c>
      <c r="C37">
        <v>12795.78</v>
      </c>
      <c r="D37">
        <v>772416.94</v>
      </c>
      <c r="E37">
        <v>62.7</v>
      </c>
      <c r="F37">
        <v>28.8</v>
      </c>
      <c r="G37">
        <v>604</v>
      </c>
    </row>
    <row r="38" spans="1:7" x14ac:dyDescent="0.3">
      <c r="A38" s="1">
        <v>46082</v>
      </c>
      <c r="B38" t="s">
        <v>147</v>
      </c>
      <c r="C38">
        <v>8460.65</v>
      </c>
      <c r="D38">
        <v>2091059</v>
      </c>
      <c r="E38">
        <v>37.4</v>
      </c>
      <c r="F38">
        <v>70.8</v>
      </c>
      <c r="G38">
        <v>2472</v>
      </c>
    </row>
    <row r="39" spans="1:7" x14ac:dyDescent="0.3">
      <c r="A39" s="1">
        <v>46082</v>
      </c>
      <c r="B39" t="s">
        <v>148</v>
      </c>
      <c r="C39">
        <v>14180.46</v>
      </c>
      <c r="D39">
        <v>861483.05</v>
      </c>
      <c r="E39">
        <v>62.6</v>
      </c>
      <c r="F39">
        <v>29.2</v>
      </c>
      <c r="G39">
        <v>608</v>
      </c>
    </row>
    <row r="40" spans="1:7" x14ac:dyDescent="0.3">
      <c r="A40" s="1">
        <v>46113</v>
      </c>
      <c r="B40" t="s">
        <v>147</v>
      </c>
      <c r="C40">
        <v>8236.58</v>
      </c>
      <c r="D40">
        <v>2051386.16</v>
      </c>
      <c r="E40">
        <v>36.9</v>
      </c>
      <c r="F40">
        <v>70.7</v>
      </c>
      <c r="G40">
        <v>2491</v>
      </c>
    </row>
    <row r="41" spans="1:7" x14ac:dyDescent="0.3">
      <c r="A41" s="1">
        <v>46113</v>
      </c>
      <c r="B41" t="s">
        <v>148</v>
      </c>
      <c r="C41">
        <v>14110.22</v>
      </c>
      <c r="D41">
        <v>851601.89</v>
      </c>
      <c r="E41">
        <v>63.1</v>
      </c>
      <c r="F41">
        <v>29.3</v>
      </c>
      <c r="G41">
        <v>604</v>
      </c>
    </row>
    <row r="42" spans="1:7" x14ac:dyDescent="0.3">
      <c r="A42" s="1">
        <v>46143</v>
      </c>
      <c r="B42" t="s">
        <v>147</v>
      </c>
      <c r="C42">
        <v>8480.6299999999992</v>
      </c>
      <c r="D42">
        <v>2117966.16</v>
      </c>
      <c r="E42">
        <v>36.6</v>
      </c>
      <c r="F42">
        <v>70.8</v>
      </c>
      <c r="G42">
        <v>2497</v>
      </c>
    </row>
    <row r="43" spans="1:7" x14ac:dyDescent="0.3">
      <c r="A43" s="1">
        <v>46143</v>
      </c>
      <c r="B43" t="s">
        <v>148</v>
      </c>
      <c r="C43">
        <v>14721.3</v>
      </c>
      <c r="D43">
        <v>872458.05</v>
      </c>
      <c r="E43">
        <v>63.4</v>
      </c>
      <c r="F43">
        <v>29.2</v>
      </c>
      <c r="G43">
        <v>593</v>
      </c>
    </row>
    <row r="44" spans="1:7" x14ac:dyDescent="0.3">
      <c r="A44" s="1">
        <v>46174</v>
      </c>
      <c r="B44" t="s">
        <v>147</v>
      </c>
      <c r="C44">
        <v>8288.19</v>
      </c>
      <c r="D44">
        <v>2031141.53</v>
      </c>
      <c r="E44">
        <v>36.5</v>
      </c>
      <c r="F44">
        <v>70.2</v>
      </c>
      <c r="G44">
        <v>2451</v>
      </c>
    </row>
    <row r="45" spans="1:7" x14ac:dyDescent="0.3">
      <c r="A45" s="1">
        <v>46174</v>
      </c>
      <c r="B45" t="s">
        <v>148</v>
      </c>
      <c r="C45">
        <v>14427.88</v>
      </c>
      <c r="D45">
        <v>860997.14</v>
      </c>
      <c r="E45">
        <v>63.5</v>
      </c>
      <c r="F45">
        <v>29.8</v>
      </c>
      <c r="G45">
        <v>597</v>
      </c>
    </row>
    <row r="46" spans="1:7" x14ac:dyDescent="0.3">
      <c r="A46" s="1">
        <v>46204</v>
      </c>
      <c r="B46" t="s">
        <v>147</v>
      </c>
      <c r="C46">
        <v>8686.5</v>
      </c>
      <c r="D46">
        <v>2081267.3</v>
      </c>
      <c r="E46">
        <v>36.700000000000003</v>
      </c>
      <c r="F46">
        <v>69.7</v>
      </c>
      <c r="G46">
        <v>2396</v>
      </c>
    </row>
    <row r="47" spans="1:7" x14ac:dyDescent="0.3">
      <c r="A47" s="1">
        <v>46204</v>
      </c>
      <c r="B47" t="s">
        <v>148</v>
      </c>
      <c r="C47">
        <v>14971.85</v>
      </c>
      <c r="D47">
        <v>906613.19</v>
      </c>
      <c r="E47">
        <v>63.3</v>
      </c>
      <c r="F47">
        <v>30.3</v>
      </c>
      <c r="G47">
        <v>606</v>
      </c>
    </row>
    <row r="48" spans="1:7" x14ac:dyDescent="0.3">
      <c r="A48" s="1">
        <v>46235</v>
      </c>
      <c r="B48" t="s">
        <v>147</v>
      </c>
      <c r="C48">
        <v>8998.9500000000007</v>
      </c>
      <c r="D48">
        <v>2087035.27</v>
      </c>
      <c r="E48">
        <v>36.700000000000003</v>
      </c>
      <c r="F48">
        <v>70</v>
      </c>
      <c r="G48">
        <v>2319</v>
      </c>
    </row>
    <row r="49" spans="1:7" x14ac:dyDescent="0.3">
      <c r="A49" s="1">
        <v>46235</v>
      </c>
      <c r="B49" t="s">
        <v>148</v>
      </c>
      <c r="C49">
        <v>15510.01</v>
      </c>
      <c r="D49">
        <v>895320.68</v>
      </c>
      <c r="E49">
        <v>63.3</v>
      </c>
      <c r="F49">
        <v>30</v>
      </c>
      <c r="G49">
        <v>577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C2AE-0EAD-436A-823B-0A065C2D5B7C}">
  <dimension ref="A1:D13"/>
  <sheetViews>
    <sheetView workbookViewId="0">
      <selection activeCell="R14" sqref="R14"/>
    </sheetView>
  </sheetViews>
  <sheetFormatPr defaultRowHeight="14.4" x14ac:dyDescent="0.3"/>
  <cols>
    <col min="1" max="1" width="12.109375" bestFit="1" customWidth="1"/>
    <col min="2" max="2" width="14.6640625" bestFit="1" customWidth="1"/>
    <col min="3" max="3" width="23.5546875" bestFit="1" customWidth="1"/>
    <col min="4" max="4" width="12.6640625" bestFit="1" customWidth="1"/>
  </cols>
  <sheetData>
    <row r="1" spans="1:4" x14ac:dyDescent="0.3">
      <c r="A1" t="s">
        <v>149</v>
      </c>
      <c r="B1" t="s">
        <v>150</v>
      </c>
      <c r="C1" t="s">
        <v>151</v>
      </c>
      <c r="D1" t="s">
        <v>152</v>
      </c>
    </row>
    <row r="2" spans="1:4" x14ac:dyDescent="0.3">
      <c r="A2">
        <v>1</v>
      </c>
      <c r="B2" t="s">
        <v>153</v>
      </c>
      <c r="C2">
        <v>1.7</v>
      </c>
      <c r="D2">
        <v>6</v>
      </c>
    </row>
    <row r="3" spans="1:4" x14ac:dyDescent="0.3">
      <c r="A3">
        <v>2</v>
      </c>
      <c r="B3" t="s">
        <v>154</v>
      </c>
      <c r="C3">
        <v>6.3</v>
      </c>
      <c r="D3">
        <v>6</v>
      </c>
    </row>
    <row r="4" spans="1:4" x14ac:dyDescent="0.3">
      <c r="A4">
        <v>3</v>
      </c>
      <c r="B4" t="s">
        <v>155</v>
      </c>
      <c r="C4">
        <v>4.4000000000000004</v>
      </c>
      <c r="D4">
        <v>6</v>
      </c>
    </row>
    <row r="5" spans="1:4" x14ac:dyDescent="0.3">
      <c r="A5">
        <v>4</v>
      </c>
      <c r="B5" t="s">
        <v>156</v>
      </c>
      <c r="C5">
        <v>2.9</v>
      </c>
      <c r="D5">
        <v>6</v>
      </c>
    </row>
    <row r="6" spans="1:4" x14ac:dyDescent="0.3">
      <c r="A6">
        <v>5</v>
      </c>
      <c r="B6" t="s">
        <v>157</v>
      </c>
      <c r="C6">
        <v>0.4</v>
      </c>
      <c r="D6">
        <v>6</v>
      </c>
    </row>
    <row r="7" spans="1:4" x14ac:dyDescent="0.3">
      <c r="A7">
        <v>6</v>
      </c>
      <c r="B7" t="s">
        <v>158</v>
      </c>
      <c r="C7">
        <v>3.9</v>
      </c>
      <c r="D7">
        <v>6</v>
      </c>
    </row>
    <row r="8" spans="1:4" x14ac:dyDescent="0.3">
      <c r="A8">
        <v>7</v>
      </c>
      <c r="B8" t="s">
        <v>159</v>
      </c>
      <c r="C8">
        <v>3.8</v>
      </c>
      <c r="D8">
        <v>6</v>
      </c>
    </row>
    <row r="9" spans="1:4" x14ac:dyDescent="0.3">
      <c r="A9">
        <v>8</v>
      </c>
      <c r="B9" t="s">
        <v>160</v>
      </c>
      <c r="C9">
        <v>5.0999999999999996</v>
      </c>
      <c r="D9">
        <v>6</v>
      </c>
    </row>
    <row r="10" spans="1:4" x14ac:dyDescent="0.3">
      <c r="A10">
        <v>9</v>
      </c>
      <c r="B10" t="s">
        <v>161</v>
      </c>
      <c r="C10">
        <v>3.7</v>
      </c>
      <c r="D10">
        <v>6</v>
      </c>
    </row>
    <row r="11" spans="1:4" x14ac:dyDescent="0.3">
      <c r="A11">
        <v>10</v>
      </c>
      <c r="B11" t="s">
        <v>162</v>
      </c>
      <c r="C11">
        <v>5.9</v>
      </c>
      <c r="D11">
        <v>5</v>
      </c>
    </row>
    <row r="12" spans="1:4" x14ac:dyDescent="0.3">
      <c r="A12">
        <v>11</v>
      </c>
      <c r="B12" t="s">
        <v>163</v>
      </c>
      <c r="C12">
        <v>1.3</v>
      </c>
      <c r="D12">
        <v>5</v>
      </c>
    </row>
    <row r="13" spans="1:4" x14ac:dyDescent="0.3">
      <c r="A13">
        <v>12</v>
      </c>
      <c r="B13" t="s">
        <v>164</v>
      </c>
      <c r="C13">
        <v>3.9</v>
      </c>
      <c r="D13">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3B1B-A034-4A82-BD91-5436F595F28B}">
  <dimension ref="A1:G24"/>
  <sheetViews>
    <sheetView zoomScale="115" zoomScaleNormal="115" workbookViewId="0">
      <selection activeCell="G7" sqref="G7"/>
    </sheetView>
  </sheetViews>
  <sheetFormatPr defaultRowHeight="14.4" x14ac:dyDescent="0.3"/>
  <cols>
    <col min="1" max="1" width="28.109375" customWidth="1"/>
    <col min="2" max="2" width="21.21875" customWidth="1"/>
    <col min="4" max="4" width="10.77734375" style="5" customWidth="1"/>
    <col min="7" max="7" width="32.5546875" bestFit="1" customWidth="1"/>
  </cols>
  <sheetData>
    <row r="1" spans="1:7" x14ac:dyDescent="0.3">
      <c r="A1" t="s">
        <v>165</v>
      </c>
      <c r="B1" s="3">
        <f>MAX(tbl_monthly[month_date])</f>
        <v>46266</v>
      </c>
      <c r="D1" s="5" cm="1">
        <f t="array" ref="D1:E24">_xlfn.LET(_xlpm.t, _xlfn._xlws.SORT(tbl_monthly[], 1, 1), _xlpm.n, ROWS(_xlpm.t), _xlpm.c, _xlfn.XMATCH("yoy_volume_pct", tbl_monthly[#Headers]), INDEX(_xlpm.t, _xlfn.SEQUENCE(24, 1, _xlpm.n - 23), CHOOSE({1,2}, 1, _xlpm.c)))</f>
        <v>45566</v>
      </c>
      <c r="E1">
        <v>45.4</v>
      </c>
      <c r="G1" t="str">
        <f>"Volume ("&amp;TEXT(B1,"mmm-yy")&amp;")"&amp;CHAR(10)&amp;TEXT(B2,"0.0")&amp;" bn"</f>
        <v>Volume (Sep-26)
24.1 bn</v>
      </c>
    </row>
    <row r="2" spans="1:7" x14ac:dyDescent="0.3">
      <c r="A2" t="s">
        <v>166</v>
      </c>
      <c r="B2" s="2">
        <f>_xlfn.XLOOKUP(B1, tbl_monthly[month_date], tbl_monthly[volume_bn])</f>
        <v>24.068000000000001</v>
      </c>
      <c r="D2" s="5">
        <v>45597</v>
      </c>
      <c r="E2">
        <v>37.799999999999997</v>
      </c>
      <c r="G2" t="str">
        <f>"Value ("&amp;TEXT(B1,"mmm-yy")&amp;")"&amp;CHAR(10)&amp;"₹"&amp;TEXT(B3,"0.0")&amp;" lakh cr"</f>
        <v>Value (Sep-26)
₹29.4 lakh cr</v>
      </c>
    </row>
    <row r="3" spans="1:7" x14ac:dyDescent="0.3">
      <c r="A3" t="s">
        <v>167</v>
      </c>
      <c r="B3" s="2">
        <f>_xlfn.XLOOKUP(B1, tbl_monthly[month_date], tbl_monthly[value_lakh_cr])</f>
        <v>29.373999999999999</v>
      </c>
      <c r="D3" s="5">
        <v>45627</v>
      </c>
      <c r="E3">
        <v>39.200000000000003</v>
      </c>
      <c r="G3" t="str">
        <f>"YoY growth"&amp;CHAR(10)&amp;TEXT(B4,"0.0")&amp;"%"</f>
        <v>YoY growth
22.6%</v>
      </c>
    </row>
    <row r="4" spans="1:7" x14ac:dyDescent="0.3">
      <c r="A4" t="s">
        <v>168</v>
      </c>
      <c r="B4" s="2">
        <f>_xlfn.XLOOKUP(B1, tbl_monthly[month_date], tbl_monthly[yoy_volume_pct])</f>
        <v>22.6</v>
      </c>
      <c r="D4" s="5">
        <v>45658</v>
      </c>
      <c r="E4">
        <v>39.299999999999997</v>
      </c>
      <c r="G4" t="str">
        <f>"Avg ticket"&amp;CHAR(10)&amp;"₹"&amp;TEXT(B5,"#,##0")</f>
        <v>Avg ticket
₹1,220</v>
      </c>
    </row>
    <row r="5" spans="1:7" x14ac:dyDescent="0.3">
      <c r="A5" t="s">
        <v>169</v>
      </c>
      <c r="B5" s="2">
        <f>_xlfn.XLOOKUP(B1, tbl_monthly[month_date], tbl_monthly[avg_ticket_rs])</f>
        <v>1220</v>
      </c>
      <c r="D5" s="5">
        <v>45689</v>
      </c>
      <c r="E5">
        <v>33.1</v>
      </c>
      <c r="G5" t="str">
        <f>"Top-2 ("&amp;TEXT(B6,"mmm-yy")&amp;")"&amp;CHAR(10)&amp;TEXT(B8,"0.0")&amp;"%"</f>
        <v>Top-2 (Aug-26)
77.9%</v>
      </c>
    </row>
    <row r="6" spans="1:7" x14ac:dyDescent="0.3">
      <c r="A6" t="s">
        <v>170</v>
      </c>
      <c r="B6" s="3">
        <f>MAX(tbl_apps[month_date])</f>
        <v>46235</v>
      </c>
      <c r="D6" s="5">
        <v>45717</v>
      </c>
      <c r="E6">
        <v>36.200000000000003</v>
      </c>
      <c r="G6" t="str">
        <f>"HHI ("&amp;TEXT(B6,"mmm-yy")&amp;")"&amp;CHAR(10)&amp;TEXT(B9,"#,##0")</f>
        <v>HHI (Aug-26)
3,215</v>
      </c>
    </row>
    <row r="7" spans="1:7" x14ac:dyDescent="0.3">
      <c r="A7" t="s">
        <v>171</v>
      </c>
      <c r="B7" s="2">
        <f>SUMIFS(tbl_apps[vol_share_pct], tbl_apps[month_date], B6, tbl_apps[app_name], "PhonePe")</f>
        <v>45.64</v>
      </c>
      <c r="D7" s="5">
        <v>45748</v>
      </c>
      <c r="E7">
        <v>34.5</v>
      </c>
      <c r="G7" t="str">
        <f>"Volume CAGR"&amp;CHAR(10)&amp;TEXT(B10,"0.0%")</f>
        <v>Volume CAGR
100.8%</v>
      </c>
    </row>
    <row r="8" spans="1:7" x14ac:dyDescent="0.3">
      <c r="A8" t="s">
        <v>172</v>
      </c>
      <c r="B8" s="2">
        <f>_xlfn.XLOOKUP(B6, tbl_conc[month_date], tbl_conc[top2_share_pct])</f>
        <v>77.900000000000006</v>
      </c>
      <c r="D8" s="5">
        <v>45778</v>
      </c>
      <c r="E8">
        <v>33.1</v>
      </c>
    </row>
    <row r="9" spans="1:7" x14ac:dyDescent="0.3">
      <c r="A9" t="s">
        <v>173</v>
      </c>
      <c r="B9" s="2">
        <f>_xlfn.XLOOKUP(B6, tbl_conc[month_date], tbl_conc[hhi])</f>
        <v>3215</v>
      </c>
      <c r="D9" s="5">
        <v>45809</v>
      </c>
      <c r="E9">
        <v>32.5</v>
      </c>
    </row>
    <row r="10" spans="1:7" x14ac:dyDescent="0.3">
      <c r="A10" t="s">
        <v>174</v>
      </c>
      <c r="B10" s="4" cm="1">
        <f t="array" ref="B10">_xlfn.LET(_xlpm.v, _xlfn._xlws.FILTER(tbl_fy[volume_bn], tbl_fy[fy_status]="Complete"), _xlpm.n, ROWS(_xlpm.v) - 1, (INDEX(_xlpm.v, ROWS(_xlpm.v)) / INDEX(_xlpm.v, 1)) ^ (1 / _xlpm.n) - 1)</f>
        <v>1.007766941676481</v>
      </c>
      <c r="D10" s="5">
        <v>45839</v>
      </c>
      <c r="E10">
        <v>34.9</v>
      </c>
    </row>
    <row r="11" spans="1:7" x14ac:dyDescent="0.3">
      <c r="D11" s="5">
        <v>45870</v>
      </c>
      <c r="E11">
        <v>33.700000000000003</v>
      </c>
    </row>
    <row r="12" spans="1:7" x14ac:dyDescent="0.3">
      <c r="D12" s="5">
        <v>45901</v>
      </c>
      <c r="E12">
        <v>30.5</v>
      </c>
    </row>
    <row r="13" spans="1:7" x14ac:dyDescent="0.3">
      <c r="D13" s="5">
        <v>45931</v>
      </c>
      <c r="E13">
        <v>24.8</v>
      </c>
    </row>
    <row r="14" spans="1:7" x14ac:dyDescent="0.3">
      <c r="D14" s="5">
        <v>45962</v>
      </c>
      <c r="E14">
        <v>32.200000000000003</v>
      </c>
    </row>
    <row r="15" spans="1:7" x14ac:dyDescent="0.3">
      <c r="D15" s="5">
        <v>45992</v>
      </c>
      <c r="E15">
        <v>29.3</v>
      </c>
    </row>
    <row r="16" spans="1:7" x14ac:dyDescent="0.3">
      <c r="D16" s="5">
        <v>46023</v>
      </c>
      <c r="E16">
        <v>27.7</v>
      </c>
    </row>
    <row r="17" spans="4:5" x14ac:dyDescent="0.3">
      <c r="D17" s="5">
        <v>46054</v>
      </c>
      <c r="E17">
        <v>26.6</v>
      </c>
    </row>
    <row r="18" spans="4:5" x14ac:dyDescent="0.3">
      <c r="D18" s="5">
        <v>46082</v>
      </c>
      <c r="E18">
        <v>23.7</v>
      </c>
    </row>
    <row r="19" spans="4:5" x14ac:dyDescent="0.3">
      <c r="D19" s="5">
        <v>46113</v>
      </c>
      <c r="E19">
        <v>24.9</v>
      </c>
    </row>
    <row r="20" spans="4:5" x14ac:dyDescent="0.3">
      <c r="D20" s="5">
        <v>46143</v>
      </c>
      <c r="E20">
        <v>24.2</v>
      </c>
    </row>
    <row r="21" spans="4:5" x14ac:dyDescent="0.3">
      <c r="D21" s="5">
        <v>46174</v>
      </c>
      <c r="E21">
        <v>23.5</v>
      </c>
    </row>
    <row r="22" spans="4:5" x14ac:dyDescent="0.3">
      <c r="D22" s="5">
        <v>46204</v>
      </c>
      <c r="E22">
        <v>21.5</v>
      </c>
    </row>
    <row r="23" spans="4:5" x14ac:dyDescent="0.3">
      <c r="D23" s="5">
        <v>46235</v>
      </c>
      <c r="E23">
        <v>22.5</v>
      </c>
    </row>
    <row r="24" spans="4:5" x14ac:dyDescent="0.3">
      <c r="D24" s="5">
        <v>46266</v>
      </c>
      <c r="E24">
        <v>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4B2F-2359-4D54-98AF-18CBBE3DF3A6}">
  <dimension ref="A3:BD126"/>
  <sheetViews>
    <sheetView topLeftCell="U30" zoomScaleNormal="100" workbookViewId="0">
      <selection activeCell="V36" sqref="V36"/>
    </sheetView>
  </sheetViews>
  <sheetFormatPr defaultRowHeight="14.4" x14ac:dyDescent="0.3"/>
  <cols>
    <col min="1" max="1" width="12.5546875" bestFit="1" customWidth="1"/>
    <col min="2" max="2" width="11.5546875" bestFit="1" customWidth="1"/>
    <col min="3" max="3" width="14.6640625" bestFit="1" customWidth="1"/>
    <col min="22" max="22" width="19.44140625" bestFit="1" customWidth="1"/>
    <col min="23" max="23" width="15.5546875" bestFit="1" customWidth="1"/>
    <col min="24" max="24" width="10.44140625" bestFit="1" customWidth="1"/>
    <col min="25" max="25" width="7" bestFit="1" customWidth="1"/>
    <col min="26" max="26" width="8.5546875" bestFit="1" customWidth="1"/>
    <col min="27" max="27" width="10.77734375" bestFit="1" customWidth="1"/>
    <col min="28" max="28" width="4.77734375" customWidth="1"/>
    <col min="40" max="40" width="23.33203125" bestFit="1" customWidth="1"/>
    <col min="41" max="41" width="15.5546875" bestFit="1" customWidth="1"/>
    <col min="42" max="42" width="6" bestFit="1" customWidth="1"/>
    <col min="43" max="43" width="10.77734375" bestFit="1" customWidth="1"/>
    <col min="44" max="44" width="2.33203125" customWidth="1"/>
    <col min="45" max="45" width="10.77734375" bestFit="1" customWidth="1"/>
    <col min="52" max="52" width="2.33203125" customWidth="1"/>
    <col min="53" max="53" width="21.5546875" bestFit="1" customWidth="1"/>
    <col min="54" max="54" width="15.5546875" bestFit="1" customWidth="1"/>
    <col min="55" max="55" width="5" bestFit="1" customWidth="1"/>
    <col min="56" max="56" width="10.77734375" bestFit="1" customWidth="1"/>
    <col min="57" max="57" width="2" customWidth="1"/>
  </cols>
  <sheetData>
    <row r="3" spans="1:56" x14ac:dyDescent="0.3">
      <c r="A3" s="6" t="s">
        <v>175</v>
      </c>
      <c r="B3" t="s">
        <v>166</v>
      </c>
      <c r="C3" t="s">
        <v>167</v>
      </c>
      <c r="V3" s="6" t="s">
        <v>178</v>
      </c>
      <c r="W3" s="6" t="s">
        <v>177</v>
      </c>
      <c r="AN3" s="6" t="s">
        <v>179</v>
      </c>
      <c r="AO3" s="6" t="s">
        <v>177</v>
      </c>
      <c r="BA3" s="6" t="s">
        <v>180</v>
      </c>
      <c r="BB3" s="6" t="s">
        <v>177</v>
      </c>
    </row>
    <row r="4" spans="1:56" x14ac:dyDescent="0.3">
      <c r="A4" s="8">
        <v>42583</v>
      </c>
      <c r="B4">
        <v>0</v>
      </c>
      <c r="C4">
        <v>0</v>
      </c>
      <c r="V4" s="6" t="s">
        <v>175</v>
      </c>
      <c r="W4" t="s">
        <v>36</v>
      </c>
      <c r="X4" t="s">
        <v>33</v>
      </c>
      <c r="Y4" t="s">
        <v>34</v>
      </c>
      <c r="Z4" t="s">
        <v>32</v>
      </c>
      <c r="AA4" t="s">
        <v>176</v>
      </c>
      <c r="AN4" s="6" t="s">
        <v>175</v>
      </c>
      <c r="AO4" t="s">
        <v>148</v>
      </c>
      <c r="AP4" t="s">
        <v>147</v>
      </c>
      <c r="AQ4" t="s">
        <v>176</v>
      </c>
      <c r="BA4" s="6" t="s">
        <v>175</v>
      </c>
      <c r="BB4" t="s">
        <v>148</v>
      </c>
      <c r="BC4" t="s">
        <v>147</v>
      </c>
      <c r="BD4" t="s">
        <v>176</v>
      </c>
    </row>
    <row r="5" spans="1:56" x14ac:dyDescent="0.3">
      <c r="A5" s="8">
        <v>42614</v>
      </c>
      <c r="B5">
        <v>0</v>
      </c>
      <c r="C5">
        <v>0</v>
      </c>
      <c r="V5" s="8">
        <v>45536</v>
      </c>
      <c r="W5">
        <v>6.229999999999996</v>
      </c>
      <c r="X5">
        <v>37.4</v>
      </c>
      <c r="Y5">
        <v>7.08</v>
      </c>
      <c r="Z5">
        <v>48.01</v>
      </c>
      <c r="AA5">
        <v>98.72</v>
      </c>
      <c r="AN5" s="8">
        <v>45536</v>
      </c>
      <c r="AO5">
        <v>62.2</v>
      </c>
      <c r="AP5">
        <v>37.799999999999997</v>
      </c>
      <c r="AQ5">
        <v>100</v>
      </c>
      <c r="BA5" s="8">
        <v>45536</v>
      </c>
      <c r="BB5">
        <v>27.4</v>
      </c>
      <c r="BC5">
        <v>72.599999999999994</v>
      </c>
      <c r="BD5">
        <v>100</v>
      </c>
    </row>
    <row r="6" spans="1:56" x14ac:dyDescent="0.3">
      <c r="A6" s="8">
        <v>42644</v>
      </c>
      <c r="B6">
        <v>0</v>
      </c>
      <c r="C6">
        <v>0</v>
      </c>
      <c r="V6" s="8">
        <v>45566</v>
      </c>
      <c r="W6">
        <v>6.5899999999999928</v>
      </c>
      <c r="X6">
        <v>37.39</v>
      </c>
      <c r="Y6">
        <v>7.02</v>
      </c>
      <c r="Z6">
        <v>47.67</v>
      </c>
      <c r="AA6">
        <v>98.669999999999987</v>
      </c>
      <c r="AN6" s="8">
        <v>45566</v>
      </c>
      <c r="AO6">
        <v>62.1</v>
      </c>
      <c r="AP6">
        <v>37.9</v>
      </c>
      <c r="AQ6">
        <v>100</v>
      </c>
      <c r="BA6" s="8">
        <v>45566</v>
      </c>
      <c r="BB6">
        <v>28.4</v>
      </c>
      <c r="BC6">
        <v>71.599999999999994</v>
      </c>
      <c r="BD6">
        <v>100</v>
      </c>
    </row>
    <row r="7" spans="1:56" x14ac:dyDescent="0.3">
      <c r="A7" s="8">
        <v>42675</v>
      </c>
      <c r="B7">
        <v>0</v>
      </c>
      <c r="C7">
        <v>1E-3</v>
      </c>
      <c r="V7" s="8">
        <v>45597</v>
      </c>
      <c r="W7">
        <v>6.8099999999999961</v>
      </c>
      <c r="X7">
        <v>37.07</v>
      </c>
      <c r="Y7">
        <v>6.94</v>
      </c>
      <c r="Z7">
        <v>47.81</v>
      </c>
      <c r="AA7">
        <v>98.63</v>
      </c>
      <c r="AN7" s="8">
        <v>45597</v>
      </c>
      <c r="AO7">
        <v>62.3</v>
      </c>
      <c r="AP7">
        <v>37.700000000000003</v>
      </c>
      <c r="AQ7">
        <v>100</v>
      </c>
      <c r="BA7" s="8">
        <v>45597</v>
      </c>
      <c r="BB7">
        <v>27.8</v>
      </c>
      <c r="BC7">
        <v>72.2</v>
      </c>
      <c r="BD7">
        <v>100</v>
      </c>
    </row>
    <row r="8" spans="1:56" x14ac:dyDescent="0.3">
      <c r="A8" s="8">
        <v>42705</v>
      </c>
      <c r="B8">
        <v>2E-3</v>
      </c>
      <c r="C8">
        <v>7.0000000000000001E-3</v>
      </c>
      <c r="V8" s="8">
        <v>45627</v>
      </c>
      <c r="W8">
        <v>7.2399999999999949</v>
      </c>
      <c r="X8">
        <v>36.700000000000003</v>
      </c>
      <c r="Y8">
        <v>6.88</v>
      </c>
      <c r="Z8">
        <v>47.72</v>
      </c>
      <c r="AA8">
        <v>98.539999999999992</v>
      </c>
      <c r="AN8" s="8">
        <v>45627</v>
      </c>
      <c r="AO8">
        <v>62.1</v>
      </c>
      <c r="AP8">
        <v>37.9</v>
      </c>
      <c r="AQ8">
        <v>100</v>
      </c>
      <c r="BA8" s="8">
        <v>45627</v>
      </c>
      <c r="BB8">
        <v>27.2</v>
      </c>
      <c r="BC8">
        <v>72.8</v>
      </c>
      <c r="BD8">
        <v>100</v>
      </c>
    </row>
    <row r="9" spans="1:56" x14ac:dyDescent="0.3">
      <c r="A9" s="8">
        <v>42736</v>
      </c>
      <c r="B9">
        <v>4.0000000000000001E-3</v>
      </c>
      <c r="C9">
        <v>1.7000000000000001E-2</v>
      </c>
      <c r="V9" s="8">
        <v>45658</v>
      </c>
      <c r="W9">
        <v>7.6199999999999974</v>
      </c>
      <c r="X9">
        <v>36.380000000000003</v>
      </c>
      <c r="Y9">
        <v>6.78</v>
      </c>
      <c r="Z9">
        <v>47.67</v>
      </c>
      <c r="AA9">
        <v>98.45</v>
      </c>
      <c r="AN9" s="8">
        <v>45658</v>
      </c>
      <c r="AO9">
        <v>62.2</v>
      </c>
      <c r="AP9">
        <v>37.799999999999997</v>
      </c>
      <c r="AQ9">
        <v>100</v>
      </c>
      <c r="BA9" s="8">
        <v>45658</v>
      </c>
      <c r="BB9">
        <v>27.5</v>
      </c>
      <c r="BC9">
        <v>72.5</v>
      </c>
      <c r="BD9">
        <v>100</v>
      </c>
    </row>
    <row r="10" spans="1:56" x14ac:dyDescent="0.3">
      <c r="A10" s="8">
        <v>42767</v>
      </c>
      <c r="B10">
        <v>4.0000000000000001E-3</v>
      </c>
      <c r="C10">
        <v>1.9E-2</v>
      </c>
      <c r="V10" s="8">
        <v>45689</v>
      </c>
      <c r="W10">
        <v>8.0299999999999976</v>
      </c>
      <c r="X10">
        <v>36.24</v>
      </c>
      <c r="Y10">
        <v>6.7</v>
      </c>
      <c r="Z10">
        <v>47.54</v>
      </c>
      <c r="AA10">
        <v>98.509999999999991</v>
      </c>
      <c r="AN10" s="8">
        <v>45689</v>
      </c>
      <c r="AO10">
        <v>62.5</v>
      </c>
      <c r="AP10">
        <v>37.5</v>
      </c>
      <c r="AQ10">
        <v>100</v>
      </c>
      <c r="BA10" s="8">
        <v>45689</v>
      </c>
      <c r="BB10">
        <v>26.9</v>
      </c>
      <c r="BC10">
        <v>73.099999999999994</v>
      </c>
      <c r="BD10">
        <v>100</v>
      </c>
    </row>
    <row r="11" spans="1:56" x14ac:dyDescent="0.3">
      <c r="A11" s="8">
        <v>42795</v>
      </c>
      <c r="B11">
        <v>6.0000000000000001E-3</v>
      </c>
      <c r="C11">
        <v>2.4E-2</v>
      </c>
      <c r="V11" s="8">
        <v>45717</v>
      </c>
      <c r="W11">
        <v>8.4999999999999964</v>
      </c>
      <c r="X11">
        <v>36.04</v>
      </c>
      <c r="Y11">
        <v>6.67</v>
      </c>
      <c r="Z11">
        <v>47.25</v>
      </c>
      <c r="AA11">
        <v>98.46</v>
      </c>
      <c r="AN11" s="8">
        <v>45717</v>
      </c>
      <c r="AO11">
        <v>62.6</v>
      </c>
      <c r="AP11">
        <v>37.4</v>
      </c>
      <c r="AQ11">
        <v>100</v>
      </c>
      <c r="BA11" s="8">
        <v>45717</v>
      </c>
      <c r="BB11">
        <v>27.1</v>
      </c>
      <c r="BC11">
        <v>72.900000000000006</v>
      </c>
      <c r="BD11">
        <v>100</v>
      </c>
    </row>
    <row r="12" spans="1:56" x14ac:dyDescent="0.3">
      <c r="A12" s="8">
        <v>42826</v>
      </c>
      <c r="B12">
        <v>7.0000000000000001E-3</v>
      </c>
      <c r="C12">
        <v>2.3E-2</v>
      </c>
      <c r="V12" s="8">
        <v>45748</v>
      </c>
      <c r="W12">
        <v>8.5899999999999963</v>
      </c>
      <c r="X12">
        <v>36.26</v>
      </c>
      <c r="Y12">
        <v>6.76</v>
      </c>
      <c r="Z12">
        <v>46.73</v>
      </c>
      <c r="AA12">
        <v>98.339999999999989</v>
      </c>
      <c r="AN12" s="8">
        <v>45748</v>
      </c>
      <c r="AO12">
        <v>63.5</v>
      </c>
      <c r="AP12">
        <v>36.5</v>
      </c>
      <c r="AQ12">
        <v>100</v>
      </c>
      <c r="BA12" s="8">
        <v>45748</v>
      </c>
      <c r="BB12">
        <v>27.7</v>
      </c>
      <c r="BC12">
        <v>72.3</v>
      </c>
      <c r="BD12">
        <v>100</v>
      </c>
    </row>
    <row r="13" spans="1:56" x14ac:dyDescent="0.3">
      <c r="A13" s="8">
        <v>42856</v>
      </c>
      <c r="B13">
        <v>8.9999999999999993E-3</v>
      </c>
      <c r="C13">
        <v>2.8000000000000001E-2</v>
      </c>
      <c r="V13" s="8">
        <v>45778</v>
      </c>
      <c r="W13">
        <v>8.9899999999999949</v>
      </c>
      <c r="X13">
        <v>36.090000000000003</v>
      </c>
      <c r="Y13">
        <v>6.84</v>
      </c>
      <c r="Z13">
        <v>46.48</v>
      </c>
      <c r="AA13">
        <v>98.4</v>
      </c>
      <c r="AN13" s="8">
        <v>45778</v>
      </c>
      <c r="AO13">
        <v>63.5</v>
      </c>
      <c r="AP13">
        <v>36.5</v>
      </c>
      <c r="AQ13">
        <v>100</v>
      </c>
      <c r="BA13" s="8">
        <v>45778</v>
      </c>
      <c r="BB13">
        <v>27.7</v>
      </c>
      <c r="BC13">
        <v>72.3</v>
      </c>
      <c r="BD13">
        <v>100</v>
      </c>
    </row>
    <row r="14" spans="1:56" x14ac:dyDescent="0.3">
      <c r="A14" s="8">
        <v>42887</v>
      </c>
      <c r="B14">
        <v>0.01</v>
      </c>
      <c r="C14">
        <v>3.1E-2</v>
      </c>
      <c r="V14" s="8">
        <v>45809</v>
      </c>
      <c r="W14">
        <v>9.4299999999999944</v>
      </c>
      <c r="X14">
        <v>35.56</v>
      </c>
      <c r="Y14">
        <v>6.9</v>
      </c>
      <c r="Z14">
        <v>46.46</v>
      </c>
      <c r="AA14">
        <v>98.35</v>
      </c>
      <c r="AN14" s="8">
        <v>45809</v>
      </c>
      <c r="AO14">
        <v>63.7</v>
      </c>
      <c r="AP14">
        <v>36.299999999999997</v>
      </c>
      <c r="AQ14">
        <v>100</v>
      </c>
      <c r="BA14" s="8">
        <v>45809</v>
      </c>
      <c r="BB14">
        <v>28.4</v>
      </c>
      <c r="BC14">
        <v>71.599999999999994</v>
      </c>
      <c r="BD14">
        <v>100</v>
      </c>
    </row>
    <row r="15" spans="1:56" x14ac:dyDescent="0.3">
      <c r="A15" s="8">
        <v>42917</v>
      </c>
      <c r="B15">
        <v>1.2E-2</v>
      </c>
      <c r="C15">
        <v>3.4000000000000002E-2</v>
      </c>
      <c r="V15" s="8">
        <v>45839</v>
      </c>
      <c r="W15">
        <v>9.7999999999999918</v>
      </c>
      <c r="X15">
        <v>35.56</v>
      </c>
      <c r="Y15">
        <v>7.02</v>
      </c>
      <c r="Z15">
        <v>45.88</v>
      </c>
      <c r="AA15">
        <v>98.259999999999991</v>
      </c>
      <c r="AN15" s="8">
        <v>45839</v>
      </c>
      <c r="AO15">
        <v>63.6</v>
      </c>
      <c r="AP15">
        <v>36.4</v>
      </c>
      <c r="AQ15">
        <v>100</v>
      </c>
      <c r="BA15" s="8">
        <v>45839</v>
      </c>
      <c r="BB15">
        <v>29.3</v>
      </c>
      <c r="BC15">
        <v>70.7</v>
      </c>
      <c r="BD15">
        <v>100</v>
      </c>
    </row>
    <row r="16" spans="1:56" x14ac:dyDescent="0.3">
      <c r="A16" s="8">
        <v>42948</v>
      </c>
      <c r="B16">
        <v>1.7000000000000001E-2</v>
      </c>
      <c r="C16">
        <v>4.2000000000000003E-2</v>
      </c>
      <c r="V16" s="8">
        <v>45870</v>
      </c>
      <c r="W16">
        <v>10.149999999999993</v>
      </c>
      <c r="X16">
        <v>35.299999999999997</v>
      </c>
      <c r="Y16">
        <v>7.03</v>
      </c>
      <c r="Z16">
        <v>45.74</v>
      </c>
      <c r="AA16">
        <v>98.22</v>
      </c>
      <c r="AN16" s="8">
        <v>45870</v>
      </c>
      <c r="AO16">
        <v>63.5</v>
      </c>
      <c r="AP16">
        <v>36.5</v>
      </c>
      <c r="AQ16">
        <v>100</v>
      </c>
      <c r="BA16" s="8">
        <v>45870</v>
      </c>
      <c r="BB16">
        <v>29.1</v>
      </c>
      <c r="BC16">
        <v>70.900000000000006</v>
      </c>
      <c r="BD16">
        <v>100</v>
      </c>
    </row>
    <row r="17" spans="1:56" x14ac:dyDescent="0.3">
      <c r="A17" s="8">
        <v>42979</v>
      </c>
      <c r="B17">
        <v>3.1E-2</v>
      </c>
      <c r="C17">
        <v>5.2999999999999999E-2</v>
      </c>
      <c r="V17" s="8">
        <v>45901</v>
      </c>
      <c r="W17">
        <v>10.639999999999995</v>
      </c>
      <c r="X17">
        <v>34.799999999999997</v>
      </c>
      <c r="Y17">
        <v>7.1</v>
      </c>
      <c r="Z17">
        <v>45.65</v>
      </c>
      <c r="AA17">
        <v>98.19</v>
      </c>
      <c r="AN17" s="8">
        <v>45901</v>
      </c>
      <c r="AO17">
        <v>63</v>
      </c>
      <c r="AP17">
        <v>37</v>
      </c>
      <c r="AQ17">
        <v>100</v>
      </c>
      <c r="BA17" s="8">
        <v>45901</v>
      </c>
      <c r="BB17">
        <v>28.9</v>
      </c>
      <c r="BC17">
        <v>71.099999999999994</v>
      </c>
      <c r="BD17">
        <v>100</v>
      </c>
    </row>
    <row r="18" spans="1:56" x14ac:dyDescent="0.3">
      <c r="A18" s="8">
        <v>43009</v>
      </c>
      <c r="B18">
        <v>7.6999999999999999E-2</v>
      </c>
      <c r="C18">
        <v>7.0999999999999994E-2</v>
      </c>
      <c r="V18" s="8">
        <v>45931</v>
      </c>
      <c r="W18">
        <v>10.359999999999992</v>
      </c>
      <c r="X18">
        <v>34.61</v>
      </c>
      <c r="Y18">
        <v>7.24</v>
      </c>
      <c r="Z18">
        <v>45.46</v>
      </c>
      <c r="AA18">
        <v>97.669999999999987</v>
      </c>
      <c r="AN18" s="8">
        <v>45931</v>
      </c>
      <c r="AO18">
        <v>62.9</v>
      </c>
      <c r="AP18">
        <v>37.1</v>
      </c>
      <c r="AQ18">
        <v>100</v>
      </c>
      <c r="BA18" s="8">
        <v>45931</v>
      </c>
      <c r="BB18">
        <v>30.3</v>
      </c>
      <c r="BC18">
        <v>69.7</v>
      </c>
      <c r="BD18">
        <v>100</v>
      </c>
    </row>
    <row r="19" spans="1:56" x14ac:dyDescent="0.3">
      <c r="A19" s="8">
        <v>43040</v>
      </c>
      <c r="B19">
        <v>0.105</v>
      </c>
      <c r="C19">
        <v>9.7000000000000003E-2</v>
      </c>
      <c r="V19" s="8">
        <v>45962</v>
      </c>
      <c r="W19">
        <v>10.629999999999994</v>
      </c>
      <c r="X19">
        <v>34.299999999999997</v>
      </c>
      <c r="Y19">
        <v>7.42</v>
      </c>
      <c r="Z19">
        <v>45.55</v>
      </c>
      <c r="AA19">
        <v>97.899999999999991</v>
      </c>
      <c r="AN19" s="8">
        <v>45962</v>
      </c>
      <c r="AO19">
        <v>62.7</v>
      </c>
      <c r="AP19">
        <v>37.299999999999997</v>
      </c>
      <c r="AQ19">
        <v>100</v>
      </c>
      <c r="BA19" s="8">
        <v>45962</v>
      </c>
      <c r="BB19">
        <v>29.1</v>
      </c>
      <c r="BC19">
        <v>70.900000000000006</v>
      </c>
      <c r="BD19">
        <v>100</v>
      </c>
    </row>
    <row r="20" spans="1:56" x14ac:dyDescent="0.3">
      <c r="A20" s="8">
        <v>43070</v>
      </c>
      <c r="B20">
        <v>0.14599999999999999</v>
      </c>
      <c r="C20">
        <v>0.13200000000000001</v>
      </c>
      <c r="V20" s="8">
        <v>45992</v>
      </c>
      <c r="W20">
        <v>10.879999999999992</v>
      </c>
      <c r="X20">
        <v>33.799999999999997</v>
      </c>
      <c r="Y20">
        <v>7.51</v>
      </c>
      <c r="Z20">
        <v>45.29</v>
      </c>
      <c r="AA20">
        <v>97.47999999999999</v>
      </c>
      <c r="AN20" s="8">
        <v>45992</v>
      </c>
      <c r="AO20">
        <v>62.3</v>
      </c>
      <c r="AP20">
        <v>37.700000000000003</v>
      </c>
      <c r="AQ20">
        <v>100</v>
      </c>
      <c r="BA20" s="8">
        <v>45992</v>
      </c>
      <c r="BB20">
        <v>28.9</v>
      </c>
      <c r="BC20">
        <v>71.099999999999994</v>
      </c>
      <c r="BD20">
        <v>100</v>
      </c>
    </row>
    <row r="21" spans="1:56" x14ac:dyDescent="0.3">
      <c r="A21" s="8">
        <v>43101</v>
      </c>
      <c r="B21">
        <v>0.152</v>
      </c>
      <c r="C21">
        <v>0.156</v>
      </c>
      <c r="V21" s="8">
        <v>46023</v>
      </c>
      <c r="W21">
        <v>11.299999999999995</v>
      </c>
      <c r="X21">
        <v>33.31</v>
      </c>
      <c r="Y21">
        <v>7.65</v>
      </c>
      <c r="Z21">
        <v>45.68</v>
      </c>
      <c r="AA21">
        <v>97.94</v>
      </c>
      <c r="AN21" s="8">
        <v>46023</v>
      </c>
      <c r="AO21">
        <v>62.7</v>
      </c>
      <c r="AP21">
        <v>37.299999999999997</v>
      </c>
      <c r="AQ21">
        <v>100</v>
      </c>
      <c r="BA21" s="8">
        <v>46023</v>
      </c>
      <c r="BB21">
        <v>29.7</v>
      </c>
      <c r="BC21">
        <v>70.3</v>
      </c>
      <c r="BD21">
        <v>100</v>
      </c>
    </row>
    <row r="22" spans="1:56" x14ac:dyDescent="0.3">
      <c r="A22" s="8">
        <v>43132</v>
      </c>
      <c r="B22">
        <v>0.17100000000000001</v>
      </c>
      <c r="C22">
        <v>0.191</v>
      </c>
      <c r="V22" s="8">
        <v>46054</v>
      </c>
      <c r="W22">
        <v>11.279999999999994</v>
      </c>
      <c r="X22">
        <v>33.18</v>
      </c>
      <c r="Y22">
        <v>7.82</v>
      </c>
      <c r="Z22">
        <v>45.52</v>
      </c>
      <c r="AA22">
        <v>97.8</v>
      </c>
      <c r="AN22" s="8">
        <v>46054</v>
      </c>
      <c r="AO22">
        <v>62.7</v>
      </c>
      <c r="AP22">
        <v>37.299999999999997</v>
      </c>
      <c r="AQ22">
        <v>100</v>
      </c>
      <c r="BA22" s="8">
        <v>46054</v>
      </c>
      <c r="BB22">
        <v>28.8</v>
      </c>
      <c r="BC22">
        <v>71.2</v>
      </c>
      <c r="BD22">
        <v>100</v>
      </c>
    </row>
    <row r="23" spans="1:56" x14ac:dyDescent="0.3">
      <c r="A23" s="8">
        <v>43160</v>
      </c>
      <c r="B23">
        <v>0.17799999999999999</v>
      </c>
      <c r="C23">
        <v>0.24199999999999999</v>
      </c>
      <c r="V23" s="8">
        <v>46082</v>
      </c>
      <c r="W23">
        <v>11.799999999999994</v>
      </c>
      <c r="X23">
        <v>33.28</v>
      </c>
      <c r="Y23">
        <v>7.82</v>
      </c>
      <c r="Z23">
        <v>46.39</v>
      </c>
      <c r="AA23">
        <v>99.289999999999992</v>
      </c>
      <c r="AN23" s="8">
        <v>46082</v>
      </c>
      <c r="AO23">
        <v>62.6</v>
      </c>
      <c r="AP23">
        <v>37.4</v>
      </c>
      <c r="AQ23">
        <v>100</v>
      </c>
      <c r="BA23" s="8">
        <v>46082</v>
      </c>
      <c r="BB23">
        <v>29.2</v>
      </c>
      <c r="BC23">
        <v>70.8</v>
      </c>
      <c r="BD23">
        <v>100</v>
      </c>
    </row>
    <row r="24" spans="1:56" x14ac:dyDescent="0.3">
      <c r="A24" s="8">
        <v>43191</v>
      </c>
      <c r="B24">
        <v>0.19</v>
      </c>
      <c r="C24">
        <v>0.27</v>
      </c>
      <c r="V24" s="8">
        <v>46113</v>
      </c>
      <c r="W24">
        <v>12.179999999999993</v>
      </c>
      <c r="X24">
        <v>32.93</v>
      </c>
      <c r="Y24">
        <v>7.96</v>
      </c>
      <c r="Z24">
        <v>46.23</v>
      </c>
      <c r="AA24">
        <v>99.299999999999983</v>
      </c>
      <c r="AN24" s="8">
        <v>46113</v>
      </c>
      <c r="AO24">
        <v>63.1</v>
      </c>
      <c r="AP24">
        <v>36.9</v>
      </c>
      <c r="AQ24">
        <v>100</v>
      </c>
      <c r="BA24" s="8">
        <v>46113</v>
      </c>
      <c r="BB24">
        <v>29.3</v>
      </c>
      <c r="BC24">
        <v>70.7</v>
      </c>
      <c r="BD24">
        <v>100</v>
      </c>
    </row>
    <row r="25" spans="1:56" x14ac:dyDescent="0.3">
      <c r="A25" s="8">
        <v>43221</v>
      </c>
      <c r="B25">
        <v>0.189</v>
      </c>
      <c r="C25">
        <v>0.33300000000000002</v>
      </c>
      <c r="V25" s="8">
        <v>46143</v>
      </c>
      <c r="W25">
        <v>12.419999999999993</v>
      </c>
      <c r="X25">
        <v>32.75</v>
      </c>
      <c r="Y25">
        <v>7.91</v>
      </c>
      <c r="Z25">
        <v>46.27</v>
      </c>
      <c r="AA25">
        <v>99.35</v>
      </c>
      <c r="AN25" s="8">
        <v>46143</v>
      </c>
      <c r="AO25">
        <v>63.4</v>
      </c>
      <c r="AP25">
        <v>36.6</v>
      </c>
      <c r="AQ25">
        <v>100</v>
      </c>
      <c r="BA25" s="8">
        <v>46143</v>
      </c>
      <c r="BB25">
        <v>29.2</v>
      </c>
      <c r="BC25">
        <v>70.8</v>
      </c>
      <c r="BD25">
        <v>100</v>
      </c>
    </row>
    <row r="26" spans="1:56" x14ac:dyDescent="0.3">
      <c r="A26" s="8">
        <v>43252</v>
      </c>
      <c r="B26">
        <v>0.246</v>
      </c>
      <c r="C26">
        <v>0.40799999999999997</v>
      </c>
      <c r="V26" s="8">
        <v>46174</v>
      </c>
      <c r="W26">
        <v>12.639999999999993</v>
      </c>
      <c r="X26">
        <v>32.61</v>
      </c>
      <c r="Y26">
        <v>7.92</v>
      </c>
      <c r="Z26">
        <v>46.15</v>
      </c>
      <c r="AA26">
        <v>99.32</v>
      </c>
      <c r="AN26" s="8">
        <v>46174</v>
      </c>
      <c r="AO26">
        <v>63.5</v>
      </c>
      <c r="AP26">
        <v>36.5</v>
      </c>
      <c r="AQ26">
        <v>100</v>
      </c>
      <c r="BA26" s="8">
        <v>46174</v>
      </c>
      <c r="BB26">
        <v>29.8</v>
      </c>
      <c r="BC26">
        <v>70.2</v>
      </c>
      <c r="BD26">
        <v>100</v>
      </c>
    </row>
    <row r="27" spans="1:56" x14ac:dyDescent="0.3">
      <c r="A27" s="8">
        <v>43282</v>
      </c>
      <c r="B27">
        <v>0.27400000000000002</v>
      </c>
      <c r="C27">
        <v>0.51800000000000002</v>
      </c>
      <c r="V27" s="8">
        <v>46204</v>
      </c>
      <c r="W27">
        <v>13.089999999999995</v>
      </c>
      <c r="X27">
        <v>32.33</v>
      </c>
      <c r="Y27">
        <v>8.0500000000000007</v>
      </c>
      <c r="Z27">
        <v>45.89</v>
      </c>
      <c r="AA27">
        <v>99.36</v>
      </c>
      <c r="AN27" s="8">
        <v>46204</v>
      </c>
      <c r="AO27">
        <v>63.3</v>
      </c>
      <c r="AP27">
        <v>36.700000000000003</v>
      </c>
      <c r="AQ27">
        <v>100</v>
      </c>
      <c r="BA27" s="8">
        <v>46204</v>
      </c>
      <c r="BB27">
        <v>30.3</v>
      </c>
      <c r="BC27">
        <v>69.7</v>
      </c>
      <c r="BD27">
        <v>100</v>
      </c>
    </row>
    <row r="28" spans="1:56" x14ac:dyDescent="0.3">
      <c r="A28" s="8">
        <v>43313</v>
      </c>
      <c r="B28">
        <v>0.312</v>
      </c>
      <c r="C28">
        <v>0.54200000000000004</v>
      </c>
      <c r="V28" s="8">
        <v>46235</v>
      </c>
      <c r="W28">
        <v>13.489999999999995</v>
      </c>
      <c r="X28">
        <v>32.26</v>
      </c>
      <c r="Y28">
        <v>8.0299999999999994</v>
      </c>
      <c r="Z28">
        <v>45.64</v>
      </c>
      <c r="AA28">
        <v>99.419999999999987</v>
      </c>
      <c r="AN28" s="8">
        <v>46235</v>
      </c>
      <c r="AO28">
        <v>63.3</v>
      </c>
      <c r="AP28">
        <v>36.700000000000003</v>
      </c>
      <c r="AQ28">
        <v>100</v>
      </c>
      <c r="BA28" s="8">
        <v>46235</v>
      </c>
      <c r="BB28">
        <v>30</v>
      </c>
      <c r="BC28">
        <v>70</v>
      </c>
      <c r="BD28">
        <v>100</v>
      </c>
    </row>
    <row r="29" spans="1:56" x14ac:dyDescent="0.3">
      <c r="A29" s="8">
        <v>43344</v>
      </c>
      <c r="B29">
        <v>0.40600000000000003</v>
      </c>
      <c r="C29">
        <v>0.59799999999999998</v>
      </c>
      <c r="V29" s="8" t="s">
        <v>176</v>
      </c>
      <c r="W29">
        <v>238.68999999999988</v>
      </c>
      <c r="X29">
        <v>836.14999999999986</v>
      </c>
      <c r="Y29">
        <v>175.05</v>
      </c>
      <c r="Z29">
        <v>1114.68</v>
      </c>
      <c r="AA29">
        <v>2364.5700000000006</v>
      </c>
      <c r="AN29" s="8" t="s">
        <v>176</v>
      </c>
      <c r="AO29">
        <v>1509.3</v>
      </c>
      <c r="AP29">
        <v>890.69999999999993</v>
      </c>
      <c r="AQ29">
        <v>2400</v>
      </c>
      <c r="BA29" s="8" t="s">
        <v>176</v>
      </c>
      <c r="BB29">
        <v>687.99999999999989</v>
      </c>
      <c r="BC29">
        <v>1712</v>
      </c>
      <c r="BD29">
        <v>2400</v>
      </c>
    </row>
    <row r="30" spans="1:56" x14ac:dyDescent="0.3">
      <c r="A30" s="8">
        <v>43374</v>
      </c>
      <c r="B30">
        <v>0.48199999999999998</v>
      </c>
      <c r="C30">
        <v>0.75</v>
      </c>
    </row>
    <row r="31" spans="1:56" x14ac:dyDescent="0.3">
      <c r="A31" s="8">
        <v>43405</v>
      </c>
      <c r="B31">
        <v>0.52500000000000002</v>
      </c>
      <c r="C31">
        <v>0.82199999999999995</v>
      </c>
    </row>
    <row r="32" spans="1:56" x14ac:dyDescent="0.3">
      <c r="A32" s="8">
        <v>43435</v>
      </c>
      <c r="B32">
        <v>0.62</v>
      </c>
      <c r="C32">
        <v>1.026</v>
      </c>
    </row>
    <row r="33" spans="1:23" x14ac:dyDescent="0.3">
      <c r="A33" s="8">
        <v>43466</v>
      </c>
      <c r="B33">
        <v>0.67300000000000004</v>
      </c>
      <c r="C33">
        <v>1.099</v>
      </c>
      <c r="V33" s="6" t="s">
        <v>0</v>
      </c>
      <c r="W33" s="7">
        <v>46235</v>
      </c>
    </row>
    <row r="34" spans="1:23" x14ac:dyDescent="0.3">
      <c r="A34" s="8">
        <v>43497</v>
      </c>
      <c r="B34">
        <v>0.67400000000000004</v>
      </c>
      <c r="C34">
        <v>1.0669999999999999</v>
      </c>
    </row>
    <row r="35" spans="1:23" x14ac:dyDescent="0.3">
      <c r="A35" s="8">
        <v>43525</v>
      </c>
      <c r="B35">
        <v>0.8</v>
      </c>
      <c r="C35">
        <v>1.335</v>
      </c>
      <c r="V35" s="6" t="s">
        <v>175</v>
      </c>
      <c r="W35" t="s">
        <v>178</v>
      </c>
    </row>
    <row r="36" spans="1:23" x14ac:dyDescent="0.3">
      <c r="A36" s="8">
        <v>43556</v>
      </c>
      <c r="B36">
        <v>0.78200000000000003</v>
      </c>
      <c r="C36">
        <v>1.42</v>
      </c>
      <c r="V36" s="9" t="s">
        <v>32</v>
      </c>
      <c r="W36">
        <v>45.64</v>
      </c>
    </row>
    <row r="37" spans="1:23" x14ac:dyDescent="0.3">
      <c r="A37" s="8">
        <v>43586</v>
      </c>
      <c r="B37">
        <v>0.73399999999999999</v>
      </c>
      <c r="C37">
        <v>1.524</v>
      </c>
      <c r="V37" s="9" t="s">
        <v>33</v>
      </c>
      <c r="W37">
        <v>32.26</v>
      </c>
    </row>
    <row r="38" spans="1:23" x14ac:dyDescent="0.3">
      <c r="A38" s="8">
        <v>43617</v>
      </c>
      <c r="B38">
        <v>0.755</v>
      </c>
      <c r="C38">
        <v>1.466</v>
      </c>
      <c r="V38" s="9" t="s">
        <v>34</v>
      </c>
      <c r="W38">
        <v>8.0299999999999994</v>
      </c>
    </row>
    <row r="39" spans="1:23" x14ac:dyDescent="0.3">
      <c r="A39" s="8">
        <v>43647</v>
      </c>
      <c r="B39">
        <v>0.82199999999999995</v>
      </c>
      <c r="C39">
        <v>1.464</v>
      </c>
      <c r="V39" s="9" t="s">
        <v>37</v>
      </c>
      <c r="W39">
        <v>4.4000000000000004</v>
      </c>
    </row>
    <row r="40" spans="1:23" x14ac:dyDescent="0.3">
      <c r="A40" s="8">
        <v>43678</v>
      </c>
      <c r="B40">
        <v>0.91800000000000004</v>
      </c>
      <c r="C40">
        <v>1.5449999999999999</v>
      </c>
      <c r="V40" s="9" t="s">
        <v>47</v>
      </c>
      <c r="W40">
        <v>1.72</v>
      </c>
    </row>
    <row r="41" spans="1:23" x14ac:dyDescent="0.3">
      <c r="A41" s="8">
        <v>43709</v>
      </c>
      <c r="B41">
        <v>0.95499999999999996</v>
      </c>
      <c r="C41">
        <v>1.615</v>
      </c>
      <c r="V41" s="9" t="s">
        <v>46</v>
      </c>
      <c r="W41">
        <v>1.04</v>
      </c>
    </row>
    <row r="42" spans="1:23" x14ac:dyDescent="0.3">
      <c r="A42" s="8">
        <v>43739</v>
      </c>
      <c r="B42">
        <v>1.1479999999999999</v>
      </c>
      <c r="C42">
        <v>1.9139999999999999</v>
      </c>
      <c r="V42" s="9" t="s">
        <v>40</v>
      </c>
      <c r="W42">
        <v>0.91</v>
      </c>
    </row>
    <row r="43" spans="1:23" x14ac:dyDescent="0.3">
      <c r="A43" s="8">
        <v>43770</v>
      </c>
      <c r="B43">
        <v>1.2190000000000001</v>
      </c>
      <c r="C43">
        <v>1.8919999999999999</v>
      </c>
      <c r="V43" s="9" t="s">
        <v>42</v>
      </c>
      <c r="W43">
        <v>0.75</v>
      </c>
    </row>
    <row r="44" spans="1:23" x14ac:dyDescent="0.3">
      <c r="A44" s="8">
        <v>43800</v>
      </c>
      <c r="B44">
        <v>1.3080000000000001</v>
      </c>
      <c r="C44">
        <v>2.0249999999999999</v>
      </c>
      <c r="V44" s="9" t="s">
        <v>38</v>
      </c>
      <c r="W44">
        <v>0.6</v>
      </c>
    </row>
    <row r="45" spans="1:23" x14ac:dyDescent="0.3">
      <c r="A45" s="8">
        <v>43831</v>
      </c>
      <c r="B45">
        <v>1.3049999999999999</v>
      </c>
      <c r="C45">
        <v>2.1619999999999999</v>
      </c>
      <c r="V45" s="9" t="s">
        <v>35</v>
      </c>
      <c r="W45">
        <v>0.59</v>
      </c>
    </row>
    <row r="46" spans="1:23" x14ac:dyDescent="0.3">
      <c r="A46" s="8">
        <v>43862</v>
      </c>
      <c r="B46">
        <v>1.3260000000000001</v>
      </c>
      <c r="C46">
        <v>2.2250000000000001</v>
      </c>
      <c r="V46" s="9" t="s">
        <v>176</v>
      </c>
      <c r="W46">
        <v>95.94</v>
      </c>
    </row>
    <row r="47" spans="1:23" x14ac:dyDescent="0.3">
      <c r="A47" s="8">
        <v>43891</v>
      </c>
      <c r="B47">
        <v>1.2470000000000001</v>
      </c>
      <c r="C47">
        <v>2.0649999999999999</v>
      </c>
    </row>
    <row r="48" spans="1:23" x14ac:dyDescent="0.3">
      <c r="A48" s="8">
        <v>43922</v>
      </c>
      <c r="B48">
        <v>1</v>
      </c>
      <c r="C48">
        <v>1.5109999999999999</v>
      </c>
    </row>
    <row r="49" spans="1:3" x14ac:dyDescent="0.3">
      <c r="A49" s="8">
        <v>43952</v>
      </c>
      <c r="B49">
        <v>1.2350000000000001</v>
      </c>
      <c r="C49">
        <v>2.1840000000000002</v>
      </c>
    </row>
    <row r="50" spans="1:3" x14ac:dyDescent="0.3">
      <c r="A50" s="8">
        <v>43983</v>
      </c>
      <c r="B50">
        <v>1.337</v>
      </c>
      <c r="C50">
        <v>2.6179999999999999</v>
      </c>
    </row>
    <row r="51" spans="1:3" x14ac:dyDescent="0.3">
      <c r="A51" s="8">
        <v>44013</v>
      </c>
      <c r="B51">
        <v>1.4970000000000001</v>
      </c>
      <c r="C51">
        <v>2.9049999999999998</v>
      </c>
    </row>
    <row r="52" spans="1:3" x14ac:dyDescent="0.3">
      <c r="A52" s="8">
        <v>44044</v>
      </c>
      <c r="B52">
        <v>1.619</v>
      </c>
      <c r="C52">
        <v>2.9830000000000001</v>
      </c>
    </row>
    <row r="53" spans="1:3" x14ac:dyDescent="0.3">
      <c r="A53" s="8">
        <v>44075</v>
      </c>
      <c r="B53">
        <v>1.8</v>
      </c>
      <c r="C53">
        <v>3.29</v>
      </c>
    </row>
    <row r="54" spans="1:3" x14ac:dyDescent="0.3">
      <c r="A54" s="8">
        <v>44105</v>
      </c>
      <c r="B54">
        <v>2.0720000000000001</v>
      </c>
      <c r="C54">
        <v>3.8610000000000002</v>
      </c>
    </row>
    <row r="55" spans="1:3" x14ac:dyDescent="0.3">
      <c r="A55" s="8">
        <v>44136</v>
      </c>
      <c r="B55">
        <v>2.21</v>
      </c>
      <c r="C55">
        <v>3.91</v>
      </c>
    </row>
    <row r="56" spans="1:3" x14ac:dyDescent="0.3">
      <c r="A56" s="8">
        <v>44166</v>
      </c>
      <c r="B56">
        <v>2.234</v>
      </c>
      <c r="C56">
        <v>4.1619999999999999</v>
      </c>
    </row>
    <row r="57" spans="1:3" x14ac:dyDescent="0.3">
      <c r="A57" s="8">
        <v>44197</v>
      </c>
      <c r="B57">
        <v>2.3029999999999999</v>
      </c>
      <c r="C57">
        <v>4.3120000000000003</v>
      </c>
    </row>
    <row r="58" spans="1:3" x14ac:dyDescent="0.3">
      <c r="A58" s="8">
        <v>44228</v>
      </c>
      <c r="B58">
        <v>2.2930000000000001</v>
      </c>
      <c r="C58">
        <v>4.2510000000000003</v>
      </c>
    </row>
    <row r="59" spans="1:3" x14ac:dyDescent="0.3">
      <c r="A59" s="8">
        <v>44256</v>
      </c>
      <c r="B59">
        <v>2.7320000000000002</v>
      </c>
      <c r="C59">
        <v>5.0490000000000004</v>
      </c>
    </row>
    <row r="60" spans="1:3" x14ac:dyDescent="0.3">
      <c r="A60" s="8">
        <v>44287</v>
      </c>
      <c r="B60">
        <v>2.641</v>
      </c>
      <c r="C60">
        <v>4.9370000000000003</v>
      </c>
    </row>
    <row r="61" spans="1:3" x14ac:dyDescent="0.3">
      <c r="A61" s="8">
        <v>44317</v>
      </c>
      <c r="B61">
        <v>2.54</v>
      </c>
      <c r="C61">
        <v>4.9059999999999997</v>
      </c>
    </row>
    <row r="62" spans="1:3" x14ac:dyDescent="0.3">
      <c r="A62" s="8">
        <v>44348</v>
      </c>
      <c r="B62">
        <v>2.8079999999999998</v>
      </c>
      <c r="C62">
        <v>5.4740000000000002</v>
      </c>
    </row>
    <row r="63" spans="1:3" x14ac:dyDescent="0.3">
      <c r="A63" s="8">
        <v>44378</v>
      </c>
      <c r="B63">
        <v>3.2480000000000002</v>
      </c>
      <c r="C63">
        <v>6.0629999999999997</v>
      </c>
    </row>
    <row r="64" spans="1:3" x14ac:dyDescent="0.3">
      <c r="A64" s="8">
        <v>44409</v>
      </c>
      <c r="B64">
        <v>3.556</v>
      </c>
      <c r="C64">
        <v>6.391</v>
      </c>
    </row>
    <row r="65" spans="1:3" x14ac:dyDescent="0.3">
      <c r="A65" s="8">
        <v>44440</v>
      </c>
      <c r="B65">
        <v>3.6539999999999999</v>
      </c>
      <c r="C65">
        <v>6.5439999999999996</v>
      </c>
    </row>
    <row r="66" spans="1:3" x14ac:dyDescent="0.3">
      <c r="A66" s="8">
        <v>44470</v>
      </c>
      <c r="B66">
        <v>4.2190000000000003</v>
      </c>
      <c r="C66">
        <v>7.7140000000000004</v>
      </c>
    </row>
    <row r="67" spans="1:3" x14ac:dyDescent="0.3">
      <c r="A67" s="8">
        <v>44501</v>
      </c>
      <c r="B67">
        <v>4.1859999999999999</v>
      </c>
      <c r="C67">
        <v>7.6840000000000002</v>
      </c>
    </row>
    <row r="68" spans="1:3" x14ac:dyDescent="0.3">
      <c r="A68" s="8">
        <v>44531</v>
      </c>
      <c r="B68">
        <v>4.5659999999999998</v>
      </c>
      <c r="C68">
        <v>8.2680000000000007</v>
      </c>
    </row>
    <row r="69" spans="1:3" x14ac:dyDescent="0.3">
      <c r="A69" s="8">
        <v>44562</v>
      </c>
      <c r="B69">
        <v>4.617</v>
      </c>
      <c r="C69">
        <v>8.32</v>
      </c>
    </row>
    <row r="70" spans="1:3" x14ac:dyDescent="0.3">
      <c r="A70" s="8">
        <v>44593</v>
      </c>
      <c r="B70">
        <v>4.5270000000000001</v>
      </c>
      <c r="C70">
        <v>8.2680000000000007</v>
      </c>
    </row>
    <row r="71" spans="1:3" x14ac:dyDescent="0.3">
      <c r="A71" s="8">
        <v>44621</v>
      </c>
      <c r="B71">
        <v>5.4059999999999997</v>
      </c>
      <c r="C71">
        <v>9.6059999999999999</v>
      </c>
    </row>
    <row r="72" spans="1:3" x14ac:dyDescent="0.3">
      <c r="A72" s="8">
        <v>44652</v>
      </c>
      <c r="B72">
        <v>5.5830000000000002</v>
      </c>
      <c r="C72">
        <v>9.8330000000000002</v>
      </c>
    </row>
    <row r="73" spans="1:3" x14ac:dyDescent="0.3">
      <c r="A73" s="8">
        <v>44682</v>
      </c>
      <c r="B73">
        <v>5.9550000000000001</v>
      </c>
      <c r="C73">
        <v>10.414999999999999</v>
      </c>
    </row>
    <row r="74" spans="1:3" x14ac:dyDescent="0.3">
      <c r="A74" s="8">
        <v>44713</v>
      </c>
      <c r="B74">
        <v>5.8630000000000004</v>
      </c>
      <c r="C74">
        <v>10.144</v>
      </c>
    </row>
    <row r="75" spans="1:3" x14ac:dyDescent="0.3">
      <c r="A75" s="8">
        <v>44743</v>
      </c>
      <c r="B75">
        <v>6.2880000000000003</v>
      </c>
      <c r="C75">
        <v>10.63</v>
      </c>
    </row>
    <row r="76" spans="1:3" x14ac:dyDescent="0.3">
      <c r="A76" s="8">
        <v>44774</v>
      </c>
      <c r="B76">
        <v>6.58</v>
      </c>
      <c r="C76">
        <v>10.728</v>
      </c>
    </row>
    <row r="77" spans="1:3" x14ac:dyDescent="0.3">
      <c r="A77" s="8">
        <v>44805</v>
      </c>
      <c r="B77">
        <v>6.7809999999999997</v>
      </c>
      <c r="C77">
        <v>11.164</v>
      </c>
    </row>
    <row r="78" spans="1:3" x14ac:dyDescent="0.3">
      <c r="A78" s="8">
        <v>44835</v>
      </c>
      <c r="B78">
        <v>7.3049999999999997</v>
      </c>
      <c r="C78">
        <v>12.116</v>
      </c>
    </row>
    <row r="79" spans="1:3" x14ac:dyDescent="0.3">
      <c r="A79" s="8">
        <v>44866</v>
      </c>
      <c r="B79">
        <v>7.3090000000000002</v>
      </c>
      <c r="C79">
        <v>11.906000000000001</v>
      </c>
    </row>
    <row r="80" spans="1:3" x14ac:dyDescent="0.3">
      <c r="A80" s="8">
        <v>44896</v>
      </c>
      <c r="B80">
        <v>7.8289999999999997</v>
      </c>
      <c r="C80">
        <v>12.821</v>
      </c>
    </row>
    <row r="81" spans="1:3" x14ac:dyDescent="0.3">
      <c r="A81" s="8">
        <v>44927</v>
      </c>
      <c r="B81">
        <v>8.0370000000000008</v>
      </c>
      <c r="C81">
        <v>12.987</v>
      </c>
    </row>
    <row r="82" spans="1:3" x14ac:dyDescent="0.3">
      <c r="A82" s="8">
        <v>44958</v>
      </c>
      <c r="B82">
        <v>7.5350000000000001</v>
      </c>
      <c r="C82">
        <v>12.358000000000001</v>
      </c>
    </row>
    <row r="83" spans="1:3" x14ac:dyDescent="0.3">
      <c r="A83" s="8">
        <v>44986</v>
      </c>
      <c r="B83">
        <v>8.6850000000000005</v>
      </c>
      <c r="C83">
        <v>14.103999999999999</v>
      </c>
    </row>
    <row r="84" spans="1:3" x14ac:dyDescent="0.3">
      <c r="A84" s="8">
        <v>45017</v>
      </c>
      <c r="B84">
        <v>8.8629999999999995</v>
      </c>
      <c r="C84">
        <v>14.154999999999999</v>
      </c>
    </row>
    <row r="85" spans="1:3" x14ac:dyDescent="0.3">
      <c r="A85" s="8">
        <v>45047</v>
      </c>
      <c r="B85">
        <v>9.4149999999999991</v>
      </c>
      <c r="C85">
        <v>14.891</v>
      </c>
    </row>
    <row r="86" spans="1:3" x14ac:dyDescent="0.3">
      <c r="A86" s="8">
        <v>45078</v>
      </c>
      <c r="B86">
        <v>9.3350000000000009</v>
      </c>
      <c r="C86">
        <v>14.755000000000001</v>
      </c>
    </row>
    <row r="87" spans="1:3" x14ac:dyDescent="0.3">
      <c r="A87" s="8">
        <v>45108</v>
      </c>
      <c r="B87">
        <v>9.9649999999999999</v>
      </c>
      <c r="C87">
        <v>15.335000000000001</v>
      </c>
    </row>
    <row r="88" spans="1:3" x14ac:dyDescent="0.3">
      <c r="A88" s="8">
        <v>45139</v>
      </c>
      <c r="B88">
        <v>10.586</v>
      </c>
      <c r="C88">
        <v>15.765000000000001</v>
      </c>
    </row>
    <row r="89" spans="1:3" x14ac:dyDescent="0.3">
      <c r="A89" s="8">
        <v>45170</v>
      </c>
      <c r="B89">
        <v>10.555999999999999</v>
      </c>
      <c r="C89">
        <v>15.791</v>
      </c>
    </row>
    <row r="90" spans="1:3" x14ac:dyDescent="0.3">
      <c r="A90" s="8">
        <v>45200</v>
      </c>
      <c r="B90">
        <v>11.409000000000001</v>
      </c>
      <c r="C90">
        <v>17.158000000000001</v>
      </c>
    </row>
    <row r="91" spans="1:3" x14ac:dyDescent="0.3">
      <c r="A91" s="8">
        <v>45231</v>
      </c>
      <c r="B91">
        <v>11.234999999999999</v>
      </c>
      <c r="C91">
        <v>17.396999999999998</v>
      </c>
    </row>
    <row r="92" spans="1:3" x14ac:dyDescent="0.3">
      <c r="A92" s="8">
        <v>45261</v>
      </c>
      <c r="B92">
        <v>12.02</v>
      </c>
      <c r="C92">
        <v>18.228999999999999</v>
      </c>
    </row>
    <row r="93" spans="1:3" x14ac:dyDescent="0.3">
      <c r="A93" s="8">
        <v>45292</v>
      </c>
      <c r="B93">
        <v>12.202999999999999</v>
      </c>
      <c r="C93">
        <v>18.411000000000001</v>
      </c>
    </row>
    <row r="94" spans="1:3" x14ac:dyDescent="0.3">
      <c r="A94" s="8">
        <v>45323</v>
      </c>
      <c r="B94">
        <v>12.103</v>
      </c>
      <c r="C94">
        <v>18.279</v>
      </c>
    </row>
    <row r="95" spans="1:3" x14ac:dyDescent="0.3">
      <c r="A95" s="8">
        <v>45352</v>
      </c>
      <c r="B95">
        <v>13.44</v>
      </c>
      <c r="C95">
        <v>19.783999999999999</v>
      </c>
    </row>
    <row r="96" spans="1:3" x14ac:dyDescent="0.3">
      <c r="A96" s="8">
        <v>45383</v>
      </c>
      <c r="B96">
        <v>13.304</v>
      </c>
      <c r="C96">
        <v>19.645</v>
      </c>
    </row>
    <row r="97" spans="1:3" x14ac:dyDescent="0.3">
      <c r="A97" s="8">
        <v>45413</v>
      </c>
      <c r="B97">
        <v>14.036</v>
      </c>
      <c r="C97">
        <v>20.449000000000002</v>
      </c>
    </row>
    <row r="98" spans="1:3" x14ac:dyDescent="0.3">
      <c r="A98" s="8">
        <v>45444</v>
      </c>
      <c r="B98">
        <v>13.885</v>
      </c>
      <c r="C98">
        <v>20.071000000000002</v>
      </c>
    </row>
    <row r="99" spans="1:3" x14ac:dyDescent="0.3">
      <c r="A99" s="8">
        <v>45474</v>
      </c>
      <c r="B99">
        <v>14.436</v>
      </c>
      <c r="C99">
        <v>20.643000000000001</v>
      </c>
    </row>
    <row r="100" spans="1:3" x14ac:dyDescent="0.3">
      <c r="A100" s="8">
        <v>45505</v>
      </c>
      <c r="B100">
        <v>14.962999999999999</v>
      </c>
      <c r="C100">
        <v>20.606999999999999</v>
      </c>
    </row>
    <row r="101" spans="1:3" x14ac:dyDescent="0.3">
      <c r="A101" s="8">
        <v>45536</v>
      </c>
      <c r="B101">
        <v>15.042</v>
      </c>
      <c r="C101">
        <v>20.64</v>
      </c>
    </row>
    <row r="102" spans="1:3" x14ac:dyDescent="0.3">
      <c r="A102" s="8">
        <v>45566</v>
      </c>
      <c r="B102">
        <v>16.585000000000001</v>
      </c>
      <c r="C102">
        <v>23.498000000000001</v>
      </c>
    </row>
    <row r="103" spans="1:3" x14ac:dyDescent="0.3">
      <c r="A103" s="8">
        <v>45597</v>
      </c>
      <c r="B103">
        <v>15.481999999999999</v>
      </c>
      <c r="C103">
        <v>21.552</v>
      </c>
    </row>
    <row r="104" spans="1:3" x14ac:dyDescent="0.3">
      <c r="A104" s="8">
        <v>45627</v>
      </c>
      <c r="B104">
        <v>16.73</v>
      </c>
      <c r="C104">
        <v>23.247</v>
      </c>
    </row>
    <row r="105" spans="1:3" x14ac:dyDescent="0.3">
      <c r="A105" s="8">
        <v>45658</v>
      </c>
      <c r="B105">
        <v>16.995999999999999</v>
      </c>
      <c r="C105">
        <v>23.48</v>
      </c>
    </row>
    <row r="106" spans="1:3" x14ac:dyDescent="0.3">
      <c r="A106" s="8">
        <v>45689</v>
      </c>
      <c r="B106">
        <v>16.106000000000002</v>
      </c>
      <c r="C106">
        <v>21.965</v>
      </c>
    </row>
    <row r="107" spans="1:3" x14ac:dyDescent="0.3">
      <c r="A107" s="8">
        <v>45717</v>
      </c>
      <c r="B107">
        <v>18.302</v>
      </c>
      <c r="C107">
        <v>24.771999999999998</v>
      </c>
    </row>
    <row r="108" spans="1:3" x14ac:dyDescent="0.3">
      <c r="A108" s="8">
        <v>45748</v>
      </c>
      <c r="B108">
        <v>17.893000000000001</v>
      </c>
      <c r="C108">
        <v>23.949000000000002</v>
      </c>
    </row>
    <row r="109" spans="1:3" x14ac:dyDescent="0.3">
      <c r="A109" s="8">
        <v>45778</v>
      </c>
      <c r="B109">
        <v>18.677</v>
      </c>
      <c r="C109">
        <v>25.143000000000001</v>
      </c>
    </row>
    <row r="110" spans="1:3" x14ac:dyDescent="0.3">
      <c r="A110" s="8">
        <v>45809</v>
      </c>
      <c r="B110">
        <v>18.395</v>
      </c>
      <c r="C110">
        <v>24.039000000000001</v>
      </c>
    </row>
    <row r="111" spans="1:3" x14ac:dyDescent="0.3">
      <c r="A111" s="8">
        <v>45839</v>
      </c>
      <c r="B111">
        <v>19.468</v>
      </c>
      <c r="C111">
        <v>25.085000000000001</v>
      </c>
    </row>
    <row r="112" spans="1:3" x14ac:dyDescent="0.3">
      <c r="A112" s="8">
        <v>45870</v>
      </c>
      <c r="B112">
        <v>20.007999999999999</v>
      </c>
      <c r="C112">
        <v>24.855</v>
      </c>
    </row>
    <row r="113" spans="1:3" x14ac:dyDescent="0.3">
      <c r="A113" s="8">
        <v>45901</v>
      </c>
      <c r="B113">
        <v>19.632999999999999</v>
      </c>
      <c r="C113">
        <v>24.896999999999998</v>
      </c>
    </row>
    <row r="114" spans="1:3" x14ac:dyDescent="0.3">
      <c r="A114" s="8">
        <v>45931</v>
      </c>
      <c r="B114">
        <v>20.701000000000001</v>
      </c>
      <c r="C114">
        <v>27.277999999999999</v>
      </c>
    </row>
    <row r="115" spans="1:3" x14ac:dyDescent="0.3">
      <c r="A115" s="8">
        <v>45962</v>
      </c>
      <c r="B115">
        <v>20.466999999999999</v>
      </c>
      <c r="C115">
        <v>26.315999999999999</v>
      </c>
    </row>
    <row r="116" spans="1:3" x14ac:dyDescent="0.3">
      <c r="A116" s="8">
        <v>45992</v>
      </c>
      <c r="B116">
        <v>21.635000000000002</v>
      </c>
      <c r="C116">
        <v>27.966999999999999</v>
      </c>
    </row>
    <row r="117" spans="1:3" x14ac:dyDescent="0.3">
      <c r="A117" s="8">
        <v>46023</v>
      </c>
      <c r="B117">
        <v>21.702999999999999</v>
      </c>
      <c r="C117">
        <v>28.335000000000001</v>
      </c>
    </row>
    <row r="118" spans="1:3" x14ac:dyDescent="0.3">
      <c r="A118" s="8">
        <v>46054</v>
      </c>
      <c r="B118">
        <v>20.393999999999998</v>
      </c>
      <c r="C118">
        <v>26.841999999999999</v>
      </c>
    </row>
    <row r="119" spans="1:3" x14ac:dyDescent="0.3">
      <c r="A119" s="8">
        <v>46082</v>
      </c>
      <c r="B119">
        <v>22.640999999999998</v>
      </c>
      <c r="C119">
        <v>29.524999999999999</v>
      </c>
    </row>
    <row r="120" spans="1:3" x14ac:dyDescent="0.3">
      <c r="A120" s="8">
        <v>46113</v>
      </c>
      <c r="B120">
        <v>22.347000000000001</v>
      </c>
      <c r="C120">
        <v>29.03</v>
      </c>
    </row>
    <row r="121" spans="1:3" x14ac:dyDescent="0.3">
      <c r="A121" s="8">
        <v>46143</v>
      </c>
      <c r="B121">
        <v>23.202000000000002</v>
      </c>
      <c r="C121">
        <v>29.904</v>
      </c>
    </row>
    <row r="122" spans="1:3" x14ac:dyDescent="0.3">
      <c r="A122" s="8">
        <v>46174</v>
      </c>
      <c r="B122">
        <v>22.716000000000001</v>
      </c>
      <c r="C122">
        <v>28.920999999999999</v>
      </c>
    </row>
    <row r="123" spans="1:3" x14ac:dyDescent="0.3">
      <c r="A123" s="8">
        <v>46204</v>
      </c>
      <c r="B123">
        <v>23.658000000000001</v>
      </c>
      <c r="C123">
        <v>29.879000000000001</v>
      </c>
    </row>
    <row r="124" spans="1:3" x14ac:dyDescent="0.3">
      <c r="A124" s="8">
        <v>46235</v>
      </c>
      <c r="B124">
        <v>24.509</v>
      </c>
      <c r="C124">
        <v>29.824000000000002</v>
      </c>
    </row>
    <row r="125" spans="1:3" x14ac:dyDescent="0.3">
      <c r="A125" s="8">
        <v>46266</v>
      </c>
      <c r="B125">
        <v>24.068000000000001</v>
      </c>
      <c r="C125">
        <v>29.373999999999999</v>
      </c>
    </row>
    <row r="126" spans="1:3" x14ac:dyDescent="0.3">
      <c r="A126" s="8" t="s">
        <v>176</v>
      </c>
      <c r="B126">
        <v>870.00299999999993</v>
      </c>
      <c r="C126">
        <v>1247.3520000000003</v>
      </c>
    </row>
  </sheetData>
  <conditionalFormatting sqref="W35">
    <cfRule type="dataBar" priority="2">
      <dataBar>
        <cfvo type="min"/>
        <cfvo type="max"/>
        <color rgb="FF638EC6"/>
      </dataBar>
      <extLst>
        <ext xmlns:x14="http://schemas.microsoft.com/office/spreadsheetml/2009/9/main" uri="{B025F937-C7B1-47D3-B67F-A62EFF666E3E}">
          <x14:id>{FB281763-FEF7-4BF9-816A-8B4CF5AE7795}</x14:id>
        </ext>
      </extLst>
    </cfRule>
  </conditionalFormatting>
  <conditionalFormatting pivot="1" sqref="W36:W46">
    <cfRule type="dataBar" priority="1">
      <dataBar>
        <cfvo type="min"/>
        <cfvo type="max"/>
        <color rgb="FF638EC6"/>
      </dataBar>
      <extLst>
        <ext xmlns:x14="http://schemas.microsoft.com/office/spreadsheetml/2009/9/main" uri="{B025F937-C7B1-47D3-B67F-A62EFF666E3E}">
          <x14:id>{96AB280C-2FDB-4E3F-9229-71771981ABAC}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B281763-FEF7-4BF9-816A-8B4CF5AE7795}">
            <x14:dataBar minLength="0" maxLength="100" border="1" negativeBarBorderColorSameAsPositive="0">
              <x14:cfvo type="autoMin"/>
              <x14:cfvo type="autoMax"/>
              <x14:borderColor rgb="FF638EC6"/>
              <x14:negativeFillColor rgb="FFFF0000"/>
              <x14:negativeBorderColor rgb="FFFF0000"/>
              <x14:axisColor rgb="FF000000"/>
            </x14:dataBar>
          </x14:cfRule>
          <xm:sqref>W35</xm:sqref>
        </x14:conditionalFormatting>
        <x14:conditionalFormatting xmlns:xm="http://schemas.microsoft.com/office/excel/2006/main" pivot="1">
          <x14:cfRule type="dataBar" id="{96AB280C-2FDB-4E3F-9229-71771981ABAC}">
            <x14:dataBar minLength="0" maxLength="100" border="1" negativeBarBorderColorSameAsPositive="0">
              <x14:cfvo type="autoMin"/>
              <x14:cfvo type="autoMax"/>
              <x14:borderColor rgb="FF638EC6"/>
              <x14:negativeFillColor rgb="FFFF0000"/>
              <x14:negativeBorderColor rgb="FFFF0000"/>
              <x14:axisColor rgb="FF000000"/>
            </x14:dataBar>
          </x14:cfRule>
          <xm:sqref>W36:W46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5F9D-D0AC-4DCC-95BA-4ABB0DE21DB6}">
  <sheetPr>
    <pageSetUpPr fitToPage="1"/>
  </sheetPr>
  <dimension ref="B1:BY121"/>
  <sheetViews>
    <sheetView showGridLines="0" showRowColHeaders="0" tabSelected="1" zoomScaleNormal="100" workbookViewId="0">
      <pane ySplit="4" topLeftCell="A5" activePane="bottomLeft" state="frozen"/>
      <selection pane="bottomLeft" activeCell="CC37" sqref="CC37"/>
    </sheetView>
  </sheetViews>
  <sheetFormatPr defaultRowHeight="16.8" x14ac:dyDescent="0.4"/>
  <cols>
    <col min="1" max="78" width="2.21875" style="10" customWidth="1"/>
    <col min="79" max="16384" width="8.88671875" style="10"/>
  </cols>
  <sheetData>
    <row r="1" spans="2:77" s="11" customFormat="1" ht="9" customHeight="1" x14ac:dyDescent="0.65"/>
    <row r="2" spans="2:77" s="11" customFormat="1" ht="30" customHeight="1" x14ac:dyDescent="0.65">
      <c r="B2" s="12" t="str">
        <f>TEXT("India UPI Growth &amp; Market Concentration (Aug 2016 – ","@")&amp;TEXT(Calc!B1,"mmm yyyy")&amp;")"</f>
        <v>India UPI Growth &amp; Market Concentration (Aug 2016 – Sep 2026)</v>
      </c>
    </row>
    <row r="3" spans="2:77" s="11" customFormat="1" ht="9" customHeight="1" x14ac:dyDescent="0.65"/>
    <row r="4" spans="2:77" ht="12" customHeight="1" x14ac:dyDescent="0.4"/>
    <row r="5" spans="2:77" ht="3" customHeight="1" x14ac:dyDescent="0.4">
      <c r="B5" s="13"/>
      <c r="C5" s="13"/>
      <c r="D5" s="13"/>
      <c r="E5" s="13"/>
      <c r="F5" s="13"/>
      <c r="G5" s="13"/>
      <c r="H5" s="13"/>
      <c r="I5" s="13"/>
      <c r="J5" s="13"/>
      <c r="K5" s="13"/>
      <c r="M5" s="13"/>
      <c r="N5" s="13"/>
      <c r="O5" s="13"/>
      <c r="P5" s="13"/>
      <c r="Q5" s="13"/>
      <c r="R5" s="13"/>
      <c r="S5" s="13"/>
      <c r="T5" s="13"/>
      <c r="U5" s="13"/>
      <c r="V5" s="13"/>
      <c r="X5" s="13"/>
      <c r="Y5" s="13"/>
      <c r="Z5" s="13"/>
      <c r="AA5" s="13"/>
      <c r="AB5" s="13"/>
      <c r="AC5" s="13"/>
      <c r="AD5" s="13"/>
      <c r="AE5" s="13"/>
      <c r="AF5" s="13"/>
      <c r="AG5" s="13"/>
      <c r="AI5" s="13"/>
      <c r="AJ5" s="13"/>
      <c r="AK5" s="13"/>
      <c r="AL5" s="13"/>
      <c r="AM5" s="13"/>
      <c r="AN5" s="13"/>
      <c r="AO5" s="13"/>
      <c r="AP5" s="13"/>
      <c r="AQ5" s="13"/>
      <c r="AR5" s="13"/>
      <c r="AT5" s="13"/>
      <c r="AU5" s="13"/>
      <c r="AV5" s="13"/>
      <c r="AW5" s="13"/>
      <c r="AX5" s="13"/>
      <c r="AY5" s="13"/>
      <c r="AZ5" s="13"/>
      <c r="BA5" s="13"/>
      <c r="BB5" s="13"/>
      <c r="BC5" s="13"/>
      <c r="BE5" s="14"/>
      <c r="BF5" s="14"/>
      <c r="BG5" s="14"/>
      <c r="BH5" s="14"/>
      <c r="BI5" s="14"/>
      <c r="BJ5" s="14"/>
      <c r="BK5" s="14"/>
      <c r="BL5" s="14"/>
      <c r="BM5" s="14"/>
      <c r="BN5" s="14"/>
      <c r="BP5" s="14"/>
      <c r="BQ5" s="14"/>
      <c r="BR5" s="14"/>
      <c r="BS5" s="14"/>
      <c r="BT5" s="14"/>
      <c r="BU5" s="14"/>
      <c r="BV5" s="14"/>
      <c r="BW5" s="14"/>
      <c r="BX5" s="14"/>
      <c r="BY5" s="14"/>
    </row>
    <row r="6" spans="2:77" ht="16.5" customHeight="1" x14ac:dyDescent="0.4">
      <c r="B6" s="19" t="str">
        <f>LEFT(Calc!G1,FIND(CHAR(10),Calc!G1)-1)</f>
        <v>Volume (Sep-26)</v>
      </c>
      <c r="C6" s="19"/>
      <c r="D6" s="19"/>
      <c r="E6" s="19"/>
      <c r="F6" s="19"/>
      <c r="G6" s="19"/>
      <c r="H6" s="19"/>
      <c r="I6" s="19"/>
      <c r="J6" s="19"/>
      <c r="K6" s="19"/>
      <c r="M6" s="19" t="str">
        <f>LEFT(Calc!G2,FIND(CHAR(10),Calc!G2)-1)</f>
        <v>Value (Sep-26)</v>
      </c>
      <c r="N6" s="19"/>
      <c r="O6" s="19"/>
      <c r="P6" s="19"/>
      <c r="Q6" s="19"/>
      <c r="R6" s="19"/>
      <c r="S6" s="19"/>
      <c r="T6" s="19"/>
      <c r="U6" s="19"/>
      <c r="V6" s="19"/>
      <c r="X6" s="19" t="str">
        <f>LEFT(Calc!G7,FIND(CHAR(10),Calc!G7)-1)</f>
        <v>Volume CAGR</v>
      </c>
      <c r="Y6" s="19"/>
      <c r="Z6" s="19"/>
      <c r="AA6" s="19"/>
      <c r="AB6" s="19"/>
      <c r="AC6" s="19"/>
      <c r="AD6" s="19"/>
      <c r="AE6" s="19"/>
      <c r="AF6" s="19"/>
      <c r="AG6" s="19"/>
      <c r="AI6" s="19" t="str">
        <f>LEFT(Calc!G3,FIND(CHAR(10),Calc!G3)-1)</f>
        <v>YoY growth</v>
      </c>
      <c r="AJ6" s="19"/>
      <c r="AK6" s="19"/>
      <c r="AL6" s="19"/>
      <c r="AM6" s="19"/>
      <c r="AN6" s="19"/>
      <c r="AO6" s="19"/>
      <c r="AP6" s="19"/>
      <c r="AQ6" s="19"/>
      <c r="AR6" s="19"/>
      <c r="AT6" s="19" t="str">
        <f>LEFT(Calc!G4,FIND(CHAR(10),Calc!G4)-1)</f>
        <v>Avg ticket</v>
      </c>
      <c r="AU6" s="19"/>
      <c r="AV6" s="19"/>
      <c r="AW6" s="19"/>
      <c r="AX6" s="19"/>
      <c r="AY6" s="19"/>
      <c r="AZ6" s="19"/>
      <c r="BA6" s="19"/>
      <c r="BB6" s="19"/>
      <c r="BC6" s="19"/>
      <c r="BE6" s="19" t="str">
        <f>LEFT(Calc!G5,FIND(CHAR(10),Calc!G5)-1)</f>
        <v>Top-2 (Aug-26)</v>
      </c>
      <c r="BF6" s="19"/>
      <c r="BG6" s="19"/>
      <c r="BH6" s="19"/>
      <c r="BI6" s="19"/>
      <c r="BJ6" s="19"/>
      <c r="BK6" s="19"/>
      <c r="BL6" s="19"/>
      <c r="BM6" s="19"/>
      <c r="BN6" s="19"/>
      <c r="BP6" s="19" t="str">
        <f>LEFT(Calc!G6,FIND(CHAR(10),Calc!G6)-1)</f>
        <v>HHI (Aug-26)</v>
      </c>
      <c r="BQ6" s="19"/>
      <c r="BR6" s="19"/>
      <c r="BS6" s="19"/>
      <c r="BT6" s="19"/>
      <c r="BU6" s="19"/>
      <c r="BV6" s="19"/>
      <c r="BW6" s="19"/>
      <c r="BX6" s="19"/>
      <c r="BY6" s="19"/>
    </row>
    <row r="7" spans="2:77" ht="34.5" customHeight="1" x14ac:dyDescent="0.4">
      <c r="B7" s="20" t="str">
        <f>MID(Calc!G1,FIND(CHAR(10),Calc!G1)+1,50)</f>
        <v>24.1 bn</v>
      </c>
      <c r="C7" s="20"/>
      <c r="D7" s="20"/>
      <c r="E7" s="20"/>
      <c r="F7" s="20"/>
      <c r="G7" s="20"/>
      <c r="H7" s="20"/>
      <c r="I7" s="20"/>
      <c r="J7" s="20"/>
      <c r="K7" s="20"/>
      <c r="M7" s="20" t="str">
        <f>MID(Calc!G2,FIND(CHAR(10),Calc!G2)+1,50)</f>
        <v>₹29.4 lakh cr</v>
      </c>
      <c r="N7" s="20"/>
      <c r="O7" s="20"/>
      <c r="P7" s="20"/>
      <c r="Q7" s="20"/>
      <c r="R7" s="20"/>
      <c r="S7" s="20"/>
      <c r="T7" s="20"/>
      <c r="U7" s="20"/>
      <c r="V7" s="20"/>
      <c r="X7" s="20" t="str">
        <f>MID(Calc!G7,FIND(CHAR(10),Calc!G7)+1,50)</f>
        <v>100.8%</v>
      </c>
      <c r="Y7" s="20"/>
      <c r="Z7" s="20"/>
      <c r="AA7" s="20"/>
      <c r="AB7" s="20"/>
      <c r="AC7" s="20"/>
      <c r="AD7" s="20"/>
      <c r="AE7" s="20"/>
      <c r="AF7" s="20"/>
      <c r="AG7" s="20"/>
      <c r="AI7" s="20" t="str">
        <f>MID(Calc!G3,FIND(CHAR(10),Calc!G3)+1,50)</f>
        <v>22.6%</v>
      </c>
      <c r="AJ7" s="20"/>
      <c r="AK7" s="20"/>
      <c r="AL7" s="20"/>
      <c r="AM7" s="20"/>
      <c r="AN7" s="20"/>
      <c r="AO7" s="20"/>
      <c r="AP7" s="20"/>
      <c r="AQ7" s="20"/>
      <c r="AR7" s="20"/>
      <c r="AT7" s="20" t="str">
        <f>MID(Calc!G4,FIND(CHAR(10),Calc!G4)+1,50)</f>
        <v>₹1,220</v>
      </c>
      <c r="AU7" s="20"/>
      <c r="AV7" s="20"/>
      <c r="AW7" s="20"/>
      <c r="AX7" s="20"/>
      <c r="AY7" s="20"/>
      <c r="AZ7" s="20"/>
      <c r="BA7" s="20"/>
      <c r="BB7" s="20"/>
      <c r="BC7" s="20"/>
      <c r="BE7" s="20" t="str">
        <f>MID(Calc!G5,FIND(CHAR(10),Calc!G5)+1,50)</f>
        <v>77.9%</v>
      </c>
      <c r="BF7" s="20"/>
      <c r="BG7" s="20"/>
      <c r="BH7" s="20"/>
      <c r="BI7" s="20"/>
      <c r="BJ7" s="20"/>
      <c r="BK7" s="20"/>
      <c r="BL7" s="20"/>
      <c r="BM7" s="20"/>
      <c r="BN7" s="20"/>
      <c r="BP7" s="20" t="str">
        <f>MID(Calc!G6,FIND(CHAR(10),Calc!G6)+1,50)</f>
        <v>3,215</v>
      </c>
      <c r="BQ7" s="20"/>
      <c r="BR7" s="20"/>
      <c r="BS7" s="20"/>
      <c r="BT7" s="20"/>
      <c r="BU7" s="20"/>
      <c r="BV7" s="20"/>
      <c r="BW7" s="20"/>
      <c r="BX7" s="20"/>
      <c r="BY7" s="20"/>
    </row>
    <row r="8" spans="2:77" ht="6" customHeight="1" x14ac:dyDescent="0.4">
      <c r="B8" s="15"/>
      <c r="C8" s="15"/>
      <c r="D8" s="15"/>
      <c r="E8" s="15"/>
      <c r="F8" s="15"/>
      <c r="G8" s="15"/>
      <c r="H8" s="15"/>
      <c r="I8" s="15"/>
      <c r="J8" s="15"/>
      <c r="K8" s="15"/>
      <c r="M8" s="15"/>
      <c r="N8" s="15"/>
      <c r="O8" s="15"/>
      <c r="P8" s="15"/>
      <c r="Q8" s="15"/>
      <c r="R8" s="15"/>
      <c r="S8" s="15"/>
      <c r="T8" s="15"/>
      <c r="U8" s="15"/>
      <c r="V8" s="15"/>
      <c r="X8" s="15"/>
      <c r="Y8" s="15"/>
      <c r="Z8" s="15"/>
      <c r="AA8" s="15"/>
      <c r="AB8" s="15"/>
      <c r="AC8" s="15"/>
      <c r="AD8" s="15"/>
      <c r="AE8" s="15"/>
      <c r="AF8" s="15"/>
      <c r="AG8" s="15"/>
      <c r="AI8" s="15"/>
      <c r="AJ8" s="15"/>
      <c r="AK8" s="15"/>
      <c r="AL8" s="15"/>
      <c r="AM8" s="15"/>
      <c r="AN8" s="15"/>
      <c r="AO8" s="15"/>
      <c r="AP8" s="15"/>
      <c r="AQ8" s="15"/>
      <c r="AR8" s="15"/>
      <c r="AT8" s="15"/>
      <c r="AU8" s="15"/>
      <c r="AV8" s="15"/>
      <c r="AW8" s="15"/>
      <c r="AX8" s="15"/>
      <c r="AY8" s="15"/>
      <c r="AZ8" s="15"/>
      <c r="BA8" s="15"/>
      <c r="BB8" s="15"/>
      <c r="BC8" s="15"/>
      <c r="BE8" s="15"/>
      <c r="BF8" s="15"/>
      <c r="BG8" s="15"/>
      <c r="BH8" s="15"/>
      <c r="BI8" s="15"/>
      <c r="BJ8" s="15"/>
      <c r="BK8" s="15"/>
      <c r="BL8" s="15"/>
      <c r="BM8" s="15"/>
      <c r="BN8" s="15"/>
      <c r="BP8" s="15"/>
      <c r="BQ8" s="15"/>
      <c r="BR8" s="15"/>
      <c r="BS8" s="15"/>
      <c r="BT8" s="15"/>
      <c r="BU8" s="15"/>
      <c r="BV8" s="15"/>
      <c r="BW8" s="15"/>
      <c r="BX8" s="15"/>
      <c r="BY8" s="15"/>
    </row>
    <row r="9" spans="2:77" ht="12" customHeight="1" x14ac:dyDescent="0.4"/>
    <row r="10" spans="2:77" ht="21" customHeight="1" x14ac:dyDescent="0.4">
      <c r="B10" s="16" t="s">
        <v>181</v>
      </c>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row>
    <row r="11" spans="2:77" ht="6" customHeight="1" x14ac:dyDescent="0.4"/>
    <row r="12" spans="2:77" ht="7.5" customHeight="1" x14ac:dyDescent="0.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row>
    <row r="13" spans="2:77" ht="28.5" customHeight="1" x14ac:dyDescent="0.4">
      <c r="B13" s="15"/>
      <c r="C13" s="21" t="s">
        <v>182</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15"/>
      <c r="AN13" s="15"/>
      <c r="AO13" s="21" t="s">
        <v>183</v>
      </c>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15"/>
    </row>
    <row r="14" spans="2:77" ht="28.5" customHeight="1" x14ac:dyDescent="0.4">
      <c r="B14" s="15"/>
      <c r="C14" s="21" t="s">
        <v>184</v>
      </c>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15"/>
      <c r="AN14" s="15"/>
      <c r="AO14" s="21" t="s">
        <v>185</v>
      </c>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15"/>
    </row>
    <row r="15" spans="2:77" ht="28.5" customHeight="1" x14ac:dyDescent="0.4">
      <c r="B15" s="15"/>
      <c r="C15" s="21" t="s">
        <v>186</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15"/>
      <c r="AN15" s="15"/>
      <c r="AO15" s="21" t="s">
        <v>187</v>
      </c>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15"/>
    </row>
    <row r="16" spans="2:77" ht="7.5" customHeight="1" x14ac:dyDescent="0.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row>
    <row r="17" spans="2:77" ht="12" customHeight="1" x14ac:dyDescent="0.4"/>
    <row r="18" spans="2:77" ht="21" customHeight="1" x14ac:dyDescent="0.4">
      <c r="B18" s="16" t="s">
        <v>188</v>
      </c>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row>
    <row r="19" spans="2:77" ht="6" customHeight="1" x14ac:dyDescent="0.4"/>
    <row r="20" spans="2:77" ht="12" customHeight="1" x14ac:dyDescent="0.4"/>
    <row r="21" spans="2:77" ht="12" customHeight="1" x14ac:dyDescent="0.4"/>
    <row r="22" spans="2:77" ht="12" customHeight="1" x14ac:dyDescent="0.4"/>
    <row r="23" spans="2:77" ht="12" customHeight="1" x14ac:dyDescent="0.4"/>
    <row r="24" spans="2:77" ht="12" customHeight="1" x14ac:dyDescent="0.4"/>
    <row r="25" spans="2:77" ht="12" customHeight="1" x14ac:dyDescent="0.4"/>
    <row r="26" spans="2:77" ht="12" customHeight="1" x14ac:dyDescent="0.4"/>
    <row r="27" spans="2:77" ht="12" customHeight="1" x14ac:dyDescent="0.4"/>
    <row r="28" spans="2:77" ht="12" customHeight="1" x14ac:dyDescent="0.4"/>
    <row r="29" spans="2:77" ht="12" customHeight="1" x14ac:dyDescent="0.4"/>
    <row r="30" spans="2:77" ht="12" customHeight="1" x14ac:dyDescent="0.4"/>
    <row r="31" spans="2:77" ht="12" customHeight="1" x14ac:dyDescent="0.4"/>
    <row r="32" spans="2:77" ht="12" customHeight="1" x14ac:dyDescent="0.4"/>
    <row r="33" ht="12" customHeight="1" x14ac:dyDescent="0.4"/>
    <row r="34" ht="12" customHeight="1" x14ac:dyDescent="0.4"/>
    <row r="35" ht="12" customHeight="1" x14ac:dyDescent="0.4"/>
    <row r="36" ht="12" customHeight="1" x14ac:dyDescent="0.4"/>
    <row r="37" ht="12" customHeight="1" x14ac:dyDescent="0.4"/>
    <row r="38" ht="12" customHeight="1" x14ac:dyDescent="0.4"/>
    <row r="39" ht="12" customHeight="1" x14ac:dyDescent="0.4"/>
    <row r="40" ht="12" customHeight="1" x14ac:dyDescent="0.4"/>
    <row r="41" ht="12" customHeight="1" x14ac:dyDescent="0.4"/>
    <row r="42" ht="12" customHeight="1" x14ac:dyDescent="0.4"/>
    <row r="43" ht="12" customHeight="1" x14ac:dyDescent="0.4"/>
    <row r="44" ht="12" customHeight="1" x14ac:dyDescent="0.4"/>
    <row r="45" ht="12" customHeight="1" x14ac:dyDescent="0.4"/>
    <row r="46" ht="12" customHeight="1" x14ac:dyDescent="0.4"/>
    <row r="47" ht="12" customHeight="1" x14ac:dyDescent="0.4"/>
    <row r="48" ht="12" customHeight="1" x14ac:dyDescent="0.4"/>
    <row r="49" spans="2:77" ht="12" customHeight="1" x14ac:dyDescent="0.4"/>
    <row r="50" spans="2:77" ht="12" customHeight="1" x14ac:dyDescent="0.4"/>
    <row r="51" spans="2:77" ht="12" customHeight="1" x14ac:dyDescent="0.4"/>
    <row r="52" spans="2:77" ht="12" customHeight="1" x14ac:dyDescent="0.4"/>
    <row r="53" spans="2:77" ht="12" customHeight="1" x14ac:dyDescent="0.4"/>
    <row r="54" spans="2:77" ht="12" customHeight="1" x14ac:dyDescent="0.4"/>
    <row r="55" spans="2:77" ht="12" customHeight="1" x14ac:dyDescent="0.4"/>
    <row r="56" spans="2:77" ht="12" customHeight="1" x14ac:dyDescent="0.4"/>
    <row r="57" spans="2:77" ht="12" customHeight="1" x14ac:dyDescent="0.4"/>
    <row r="58" spans="2:77" ht="12" customHeight="1" x14ac:dyDescent="0.4"/>
    <row r="59" spans="2:77" ht="12" customHeight="1" x14ac:dyDescent="0.4"/>
    <row r="60" spans="2:77" ht="12" customHeight="1" x14ac:dyDescent="0.4"/>
    <row r="61" spans="2:77" ht="21" customHeight="1" x14ac:dyDescent="0.4">
      <c r="B61" s="16" t="s">
        <v>189</v>
      </c>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row>
    <row r="62" spans="2:77" ht="6" customHeight="1" x14ac:dyDescent="0.4"/>
    <row r="63" spans="2:77" ht="12" customHeight="1" x14ac:dyDescent="0.4"/>
    <row r="64" spans="2:77" ht="12" customHeight="1" x14ac:dyDescent="0.4"/>
    <row r="65" ht="12" customHeight="1" x14ac:dyDescent="0.4"/>
    <row r="66" ht="12" customHeight="1" x14ac:dyDescent="0.4"/>
    <row r="67" ht="12" customHeight="1" x14ac:dyDescent="0.4"/>
    <row r="68" ht="12" customHeight="1" x14ac:dyDescent="0.4"/>
    <row r="69" ht="12" customHeight="1" x14ac:dyDescent="0.4"/>
    <row r="70" ht="12" customHeight="1" x14ac:dyDescent="0.4"/>
    <row r="71" ht="12" customHeight="1" x14ac:dyDescent="0.4"/>
    <row r="72" ht="12" customHeight="1" x14ac:dyDescent="0.4"/>
    <row r="73" ht="12" customHeight="1" x14ac:dyDescent="0.4"/>
    <row r="74" ht="12" customHeight="1" x14ac:dyDescent="0.4"/>
    <row r="75" ht="12" customHeight="1" x14ac:dyDescent="0.4"/>
    <row r="76" ht="12" customHeight="1" x14ac:dyDescent="0.4"/>
    <row r="77" ht="12" customHeight="1" x14ac:dyDescent="0.4"/>
    <row r="78" ht="12" customHeight="1" x14ac:dyDescent="0.4"/>
    <row r="79" ht="12" customHeight="1" x14ac:dyDescent="0.4"/>
    <row r="80" ht="12" customHeight="1" x14ac:dyDescent="0.4"/>
    <row r="81" ht="12" customHeight="1" x14ac:dyDescent="0.4"/>
    <row r="82" ht="12" customHeight="1" x14ac:dyDescent="0.4"/>
    <row r="83" ht="12" customHeight="1" x14ac:dyDescent="0.4"/>
    <row r="84" ht="12" customHeight="1" x14ac:dyDescent="0.4"/>
    <row r="85" ht="12" customHeight="1" x14ac:dyDescent="0.4"/>
    <row r="86" ht="12" customHeight="1" x14ac:dyDescent="0.4"/>
    <row r="87" ht="12" customHeight="1" x14ac:dyDescent="0.4"/>
    <row r="88" ht="12" customHeight="1" x14ac:dyDescent="0.4"/>
    <row r="89" ht="12" customHeight="1" x14ac:dyDescent="0.4"/>
    <row r="90" ht="12" customHeight="1" x14ac:dyDescent="0.4"/>
    <row r="91" ht="12" customHeight="1" x14ac:dyDescent="0.4"/>
    <row r="92" ht="12" customHeight="1" x14ac:dyDescent="0.4"/>
    <row r="93" ht="12" customHeight="1" x14ac:dyDescent="0.4"/>
    <row r="94" ht="12" customHeight="1" x14ac:dyDescent="0.4"/>
    <row r="95" ht="12" customHeight="1" x14ac:dyDescent="0.4"/>
    <row r="96" ht="12" customHeight="1" x14ac:dyDescent="0.4"/>
    <row r="97" spans="2:77" ht="12" customHeight="1" x14ac:dyDescent="0.4"/>
    <row r="98" spans="2:77" ht="12" customHeight="1" x14ac:dyDescent="0.4"/>
    <row r="99" spans="2:77" ht="12" customHeight="1" x14ac:dyDescent="0.4"/>
    <row r="100" spans="2:77" ht="21" customHeight="1" x14ac:dyDescent="0.4">
      <c r="B100" s="16" t="s">
        <v>190</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row>
    <row r="101" spans="2:77" ht="6" customHeight="1" x14ac:dyDescent="0.4"/>
    <row r="102" spans="2:77" ht="12" customHeight="1" x14ac:dyDescent="0.4"/>
    <row r="103" spans="2:77" ht="12" customHeight="1" x14ac:dyDescent="0.4"/>
    <row r="104" spans="2:77" ht="12" customHeight="1" x14ac:dyDescent="0.4"/>
    <row r="105" spans="2:77" ht="12" customHeight="1" x14ac:dyDescent="0.4"/>
    <row r="106" spans="2:77" ht="12" customHeight="1" x14ac:dyDescent="0.4"/>
    <row r="107" spans="2:77" ht="12" customHeight="1" x14ac:dyDescent="0.4"/>
    <row r="108" spans="2:77" ht="12" customHeight="1" x14ac:dyDescent="0.4"/>
    <row r="109" spans="2:77" ht="12" customHeight="1" x14ac:dyDescent="0.4"/>
    <row r="110" spans="2:77" ht="12" customHeight="1" x14ac:dyDescent="0.4"/>
    <row r="111" spans="2:77" ht="12" customHeight="1" x14ac:dyDescent="0.4"/>
    <row r="112" spans="2:77" ht="12" customHeight="1" x14ac:dyDescent="0.4"/>
    <row r="113" spans="2:77" ht="12" customHeight="1" x14ac:dyDescent="0.4"/>
    <row r="114" spans="2:77" ht="12" customHeight="1" x14ac:dyDescent="0.4"/>
    <row r="115" spans="2:77" ht="12" customHeight="1" x14ac:dyDescent="0.4"/>
    <row r="116" spans="2:77" ht="12" customHeight="1" x14ac:dyDescent="0.4"/>
    <row r="117" spans="2:77" ht="12" customHeight="1" x14ac:dyDescent="0.4"/>
    <row r="118" spans="2:77" ht="12" customHeight="1" x14ac:dyDescent="0.4"/>
    <row r="119" spans="2:77" ht="12" customHeight="1" x14ac:dyDescent="0.4"/>
    <row r="120" spans="2:77" ht="22.5" customHeight="1" x14ac:dyDescent="0.4">
      <c r="B120" s="18" t="s">
        <v>191</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row>
    <row r="121" spans="2:77" ht="12" customHeight="1" x14ac:dyDescent="0.4"/>
  </sheetData>
  <mergeCells count="21">
    <mergeCell ref="B7:K7"/>
    <mergeCell ref="M6:V6"/>
    <mergeCell ref="M7:V7"/>
    <mergeCell ref="X6:AG6"/>
    <mergeCell ref="X7:AG7"/>
    <mergeCell ref="B120:BY120"/>
    <mergeCell ref="BP6:BY6"/>
    <mergeCell ref="BP7:BY7"/>
    <mergeCell ref="C13:AL13"/>
    <mergeCell ref="C14:AL14"/>
    <mergeCell ref="C15:AL15"/>
    <mergeCell ref="AO13:BX13"/>
    <mergeCell ref="AO14:BX14"/>
    <mergeCell ref="AO15:BX15"/>
    <mergeCell ref="AI6:AR6"/>
    <mergeCell ref="AI7:AR7"/>
    <mergeCell ref="AT6:BC6"/>
    <mergeCell ref="AT7:BC7"/>
    <mergeCell ref="BE6:BN6"/>
    <mergeCell ref="BE7:BN7"/>
    <mergeCell ref="B6:K6"/>
  </mergeCells>
  <pageMargins left="0.7" right="0.7" top="0.75" bottom="0.75" header="0.3" footer="0.3"/>
  <pageSetup scale="44"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B9080E-5437-4754-85F9-76970450FE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data_monthly</vt:lpstr>
      <vt:lpstr>data_fy</vt:lpstr>
      <vt:lpstr>data_apps</vt:lpstr>
      <vt:lpstr>data_conc</vt:lpstr>
      <vt:lpstr>data_mix</vt:lpstr>
      <vt:lpstr>data_season</vt:lpstr>
      <vt:lpstr>Calc</vt:lpstr>
      <vt:lpstr>Pivots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Faustus 7908</dc:creator>
  <cp:lastModifiedBy>Faustus 7908</cp:lastModifiedBy>
  <cp:lastPrinted>2026-10-08T11:50:22Z</cp:lastPrinted>
  <dcterms:created xsi:type="dcterms:W3CDTF">2026-10-07T08:25:00Z</dcterms:created>
  <dcterms:modified xsi:type="dcterms:W3CDTF">2026-10-08T11:51:01Z</dcterms:modified>
</cp:coreProperties>
</file>